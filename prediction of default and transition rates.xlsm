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Gebruiker\Documents\credit risk modelling\"/>
    </mc:Choice>
  </mc:AlternateContent>
  <bookViews>
    <workbookView xWindow="0" yWindow="0" windowWidth="24000" windowHeight="9510"/>
  </bookViews>
  <sheets>
    <sheet name="linear reg" sheetId="1" r:id="rId1"/>
    <sheet name="poisson reg" sheetId="2" r:id="rId2"/>
    <sheet name="poireg" sheetId="3" r:id="rId3"/>
    <sheet name="backtesting" sheetId="4" r:id="rId4"/>
    <sheet name="pred.transition matrices" sheetId="5" r:id="rId5"/>
    <sheet name="shifting trans. matrix" sheetId="7" r:id="rId6"/>
    <sheet name="Sheet8" sheetId="8" r:id="rId7"/>
  </sheets>
  <functionGroups builtInGroupCount="19"/>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 i="7" l="1"/>
  <c r="C26" i="7"/>
  <c r="C27" i="7"/>
  <c r="C28" i="7"/>
  <c r="C29" i="7"/>
  <c r="C30" i="7"/>
  <c r="C31" i="7"/>
  <c r="H25" i="7"/>
  <c r="G25" i="7" s="1"/>
  <c r="F25" i="7" s="1"/>
  <c r="E25" i="7" s="1"/>
  <c r="D25" i="7" s="1"/>
  <c r="B25" i="7" s="1"/>
  <c r="I25" i="7"/>
  <c r="G26" i="7"/>
  <c r="F26" i="7" s="1"/>
  <c r="E26" i="7" s="1"/>
  <c r="D26" i="7" s="1"/>
  <c r="B26" i="7" s="1"/>
  <c r="H26" i="7"/>
  <c r="I26" i="7"/>
  <c r="I27" i="7"/>
  <c r="H27" i="7" s="1"/>
  <c r="G27" i="7" s="1"/>
  <c r="F27" i="7" s="1"/>
  <c r="E27" i="7" s="1"/>
  <c r="D27" i="7" s="1"/>
  <c r="B27" i="7" s="1"/>
  <c r="I28" i="7"/>
  <c r="H28" i="7" s="1"/>
  <c r="G28" i="7" s="1"/>
  <c r="F28" i="7" s="1"/>
  <c r="E28" i="7" s="1"/>
  <c r="D28" i="7" s="1"/>
  <c r="H29" i="7"/>
  <c r="G29" i="7" s="1"/>
  <c r="F29" i="7" s="1"/>
  <c r="E29" i="7" s="1"/>
  <c r="D29" i="7" s="1"/>
  <c r="I29" i="7"/>
  <c r="G30" i="7"/>
  <c r="F30" i="7" s="1"/>
  <c r="E30" i="7" s="1"/>
  <c r="D30" i="7" s="1"/>
  <c r="B30" i="7" s="1"/>
  <c r="H30" i="7"/>
  <c r="I30" i="7"/>
  <c r="I31" i="7"/>
  <c r="H31" i="7" s="1"/>
  <c r="G31" i="7" s="1"/>
  <c r="F31" i="7" s="1"/>
  <c r="E31" i="7" s="1"/>
  <c r="D31" i="7" s="1"/>
  <c r="B31" i="7" s="1"/>
  <c r="D14" i="7"/>
  <c r="E14" i="7"/>
  <c r="F14" i="7"/>
  <c r="G14" i="7"/>
  <c r="H14" i="7"/>
  <c r="I14" i="7"/>
  <c r="D15" i="7"/>
  <c r="E15" i="7"/>
  <c r="F15" i="7"/>
  <c r="G15" i="7"/>
  <c r="H15" i="7"/>
  <c r="I15" i="7"/>
  <c r="D16" i="7"/>
  <c r="E16" i="7"/>
  <c r="F16" i="7"/>
  <c r="G16" i="7"/>
  <c r="H16" i="7"/>
  <c r="I16" i="7"/>
  <c r="D17" i="7"/>
  <c r="E17" i="7"/>
  <c r="F17" i="7"/>
  <c r="G17" i="7"/>
  <c r="H17" i="7"/>
  <c r="I17" i="7"/>
  <c r="D18" i="7"/>
  <c r="E18" i="7"/>
  <c r="F18" i="7"/>
  <c r="G18" i="7"/>
  <c r="H18" i="7"/>
  <c r="I18" i="7"/>
  <c r="D19" i="7"/>
  <c r="E19" i="7"/>
  <c r="F19" i="7"/>
  <c r="G19" i="7"/>
  <c r="H19" i="7"/>
  <c r="I19" i="7"/>
  <c r="D20" i="7"/>
  <c r="E20" i="7"/>
  <c r="F20" i="7"/>
  <c r="G20" i="7"/>
  <c r="H20" i="7"/>
  <c r="I20" i="7"/>
  <c r="C15" i="7"/>
  <c r="C16" i="7"/>
  <c r="C17" i="7"/>
  <c r="C18" i="7"/>
  <c r="C19" i="7"/>
  <c r="C20" i="7"/>
  <c r="C14" i="7"/>
  <c r="B5" i="7"/>
  <c r="C5" i="7"/>
  <c r="D5" i="7"/>
  <c r="E5" i="7"/>
  <c r="F5" i="7"/>
  <c r="G5" i="7"/>
  <c r="H5" i="7"/>
  <c r="I5" i="7"/>
  <c r="B6" i="7"/>
  <c r="C6" i="7"/>
  <c r="D6" i="7"/>
  <c r="E6" i="7"/>
  <c r="F6" i="7"/>
  <c r="G6" i="7"/>
  <c r="H6" i="7"/>
  <c r="I6" i="7"/>
  <c r="B7" i="7"/>
  <c r="C7" i="7"/>
  <c r="D7" i="7"/>
  <c r="E7" i="7"/>
  <c r="F7" i="7"/>
  <c r="G7" i="7"/>
  <c r="H7" i="7"/>
  <c r="I7" i="7"/>
  <c r="B8" i="7"/>
  <c r="C8" i="7"/>
  <c r="D8" i="7"/>
  <c r="E8" i="7"/>
  <c r="F8" i="7"/>
  <c r="G8" i="7"/>
  <c r="H8" i="7"/>
  <c r="I8" i="7"/>
  <c r="B9" i="7"/>
  <c r="C9" i="7"/>
  <c r="D9" i="7"/>
  <c r="E9" i="7"/>
  <c r="F9" i="7"/>
  <c r="G9" i="7"/>
  <c r="H9" i="7"/>
  <c r="I9" i="7"/>
  <c r="B10" i="7"/>
  <c r="C10" i="7"/>
  <c r="D10" i="7"/>
  <c r="E10" i="7"/>
  <c r="F10" i="7"/>
  <c r="G10" i="7"/>
  <c r="H10" i="7"/>
  <c r="I10" i="7"/>
  <c r="C4" i="7"/>
  <c r="D4" i="7"/>
  <c r="E4" i="7"/>
  <c r="F4" i="7"/>
  <c r="G4" i="7"/>
  <c r="H4" i="7"/>
  <c r="I4" i="7"/>
  <c r="B4" i="7"/>
  <c r="C59" i="5"/>
  <c r="D59" i="5"/>
  <c r="E59" i="5"/>
  <c r="E60" i="5" s="1"/>
  <c r="F59" i="5"/>
  <c r="F60" i="5" s="1"/>
  <c r="G59" i="5"/>
  <c r="H59" i="5"/>
  <c r="H60" i="5" s="1"/>
  <c r="I59" i="5"/>
  <c r="I60" i="5" s="1"/>
  <c r="B59" i="5"/>
  <c r="B60" i="5" s="1"/>
  <c r="G60" i="5"/>
  <c r="D60" i="5"/>
  <c r="C60" i="5"/>
  <c r="C52" i="5"/>
  <c r="D52" i="5"/>
  <c r="E52" i="5"/>
  <c r="F52" i="5"/>
  <c r="G52" i="5"/>
  <c r="H52" i="5"/>
  <c r="I52" i="5"/>
  <c r="B52" i="5"/>
  <c r="D54" i="5"/>
  <c r="E54" i="5"/>
  <c r="F54" i="5"/>
  <c r="G54" i="5"/>
  <c r="H54" i="5"/>
  <c r="I54" i="5"/>
  <c r="C54" i="5"/>
  <c r="I51" i="5"/>
  <c r="H51" i="5"/>
  <c r="G51" i="5"/>
  <c r="F51" i="5"/>
  <c r="I34" i="5"/>
  <c r="G33" i="5"/>
  <c r="E43" i="5" s="1"/>
  <c r="F32" i="5"/>
  <c r="E31" i="5"/>
  <c r="D30" i="5"/>
  <c r="C29" i="5"/>
  <c r="G34" i="5"/>
  <c r="F33" i="5"/>
  <c r="F34" i="5"/>
  <c r="E32" i="5"/>
  <c r="E33" i="5"/>
  <c r="E34" i="5"/>
  <c r="I29" i="5"/>
  <c r="I39" i="5" s="1"/>
  <c r="I30" i="5"/>
  <c r="E40" i="5" s="1"/>
  <c r="I31" i="5"/>
  <c r="I32" i="5"/>
  <c r="I42" i="5" s="1"/>
  <c r="I33" i="5"/>
  <c r="H43" i="5" s="1"/>
  <c r="I28" i="5"/>
  <c r="H29" i="5"/>
  <c r="H30" i="5"/>
  <c r="H31" i="5"/>
  <c r="H32" i="5"/>
  <c r="H33" i="5"/>
  <c r="H28" i="5"/>
  <c r="G38" i="5" s="1"/>
  <c r="G29" i="5"/>
  <c r="G30" i="5"/>
  <c r="G31" i="5"/>
  <c r="G32" i="5"/>
  <c r="G28" i="5"/>
  <c r="F29" i="5"/>
  <c r="F30" i="5"/>
  <c r="F31" i="5"/>
  <c r="F41" i="5" s="1"/>
  <c r="F28" i="5"/>
  <c r="E29" i="5"/>
  <c r="E30" i="5"/>
  <c r="E28" i="5"/>
  <c r="D32" i="5"/>
  <c r="D33" i="5"/>
  <c r="D34" i="5"/>
  <c r="D31" i="5"/>
  <c r="C31" i="5"/>
  <c r="C32" i="5"/>
  <c r="C33" i="5"/>
  <c r="C34" i="5"/>
  <c r="C30" i="5"/>
  <c r="D29" i="5"/>
  <c r="B30" i="5"/>
  <c r="B31" i="5"/>
  <c r="B32" i="5"/>
  <c r="B33" i="5"/>
  <c r="B34" i="5"/>
  <c r="B29" i="5"/>
  <c r="D28" i="5"/>
  <c r="C28" i="5"/>
  <c r="I43" i="5"/>
  <c r="I41" i="5"/>
  <c r="H41" i="5"/>
  <c r="G41" i="5"/>
  <c r="F40" i="5"/>
  <c r="I38" i="5"/>
  <c r="L40" i="4"/>
  <c r="K40" i="4"/>
  <c r="L29" i="4"/>
  <c r="L30" i="4"/>
  <c r="L31" i="4"/>
  <c r="L32" i="4"/>
  <c r="L33" i="4"/>
  <c r="L34" i="4"/>
  <c r="L35" i="4"/>
  <c r="L36" i="4"/>
  <c r="L37" i="4"/>
  <c r="L38" i="4"/>
  <c r="K30" i="4"/>
  <c r="K31" i="4"/>
  <c r="K32" i="4"/>
  <c r="K33" i="4"/>
  <c r="K34" i="4"/>
  <c r="K35" i="4"/>
  <c r="K36" i="4"/>
  <c r="K37" i="4"/>
  <c r="K38" i="4"/>
  <c r="K29" i="4"/>
  <c r="L17" i="4"/>
  <c r="L18" i="4" s="1"/>
  <c r="L19" i="4" s="1"/>
  <c r="L20" i="4" s="1"/>
  <c r="L21" i="4" s="1"/>
  <c r="L22" i="4" s="1"/>
  <c r="L23" i="4" s="1"/>
  <c r="L24" i="4" s="1"/>
  <c r="L25" i="4" s="1"/>
  <c r="L26" i="4" s="1"/>
  <c r="K17" i="4"/>
  <c r="K18" i="4" s="1"/>
  <c r="K19" i="4" s="1"/>
  <c r="K20" i="4" s="1"/>
  <c r="K21" i="4" s="1"/>
  <c r="K22" i="4" s="1"/>
  <c r="K23" i="4" s="1"/>
  <c r="K24" i="4" s="1"/>
  <c r="K25" i="4" s="1"/>
  <c r="K26" i="4" s="1"/>
  <c r="J18" i="4"/>
  <c r="J19" i="4" s="1"/>
  <c r="J20" i="4" s="1"/>
  <c r="J21" i="4" s="1"/>
  <c r="J22" i="4" s="1"/>
  <c r="J23" i="4" s="1"/>
  <c r="J24" i="4" s="1"/>
  <c r="J25" i="4" s="1"/>
  <c r="J26" i="4" s="1"/>
  <c r="J17" i="4"/>
  <c r="N17" i="4"/>
  <c r="M17" i="4"/>
  <c r="B29" i="7" l="1"/>
  <c r="B28" i="7"/>
  <c r="H40" i="5"/>
  <c r="F39" i="5"/>
  <c r="I40" i="5"/>
  <c r="I48" i="5" s="1"/>
  <c r="C39" i="5"/>
  <c r="G42" i="5"/>
  <c r="H42" i="5"/>
  <c r="H38" i="5"/>
  <c r="F38" i="5"/>
  <c r="C38" i="5"/>
  <c r="E48" i="5"/>
  <c r="D39" i="5"/>
  <c r="E38" i="5"/>
  <c r="G39" i="5"/>
  <c r="H39" i="5"/>
  <c r="D43" i="5"/>
  <c r="C43" i="5"/>
  <c r="F43" i="5"/>
  <c r="H48" i="5"/>
  <c r="E39" i="5"/>
  <c r="D40" i="5"/>
  <c r="D48" i="5" s="1"/>
  <c r="G40" i="5"/>
  <c r="G48" i="5" s="1"/>
  <c r="E41" i="5"/>
  <c r="G43" i="5"/>
  <c r="D38" i="5"/>
  <c r="B28" i="5"/>
  <c r="E42" i="5"/>
  <c r="M29" i="4"/>
  <c r="N29" i="4"/>
  <c r="M18" i="4"/>
  <c r="N18" i="4"/>
  <c r="C40" i="5" l="1"/>
  <c r="D42" i="5"/>
  <c r="F42" i="5"/>
  <c r="C42" i="5"/>
  <c r="D41" i="5"/>
  <c r="C41" i="5"/>
  <c r="F48" i="5"/>
  <c r="N30" i="4"/>
  <c r="M30" i="4"/>
  <c r="N19" i="4"/>
  <c r="M19" i="4"/>
  <c r="B48" i="5" l="1"/>
  <c r="C48" i="5"/>
  <c r="M31" i="4"/>
  <c r="N31" i="4"/>
  <c r="M20" i="4"/>
  <c r="N20" i="4"/>
  <c r="N32" i="4" l="1"/>
  <c r="M32" i="4"/>
  <c r="N21" i="4"/>
  <c r="M21" i="4"/>
  <c r="M33" i="4" l="1"/>
  <c r="N33" i="4"/>
  <c r="M22" i="4"/>
  <c r="N22" i="4"/>
  <c r="N34" i="4" l="1"/>
  <c r="M34" i="4"/>
  <c r="N23" i="4"/>
  <c r="M23" i="4"/>
  <c r="M35" i="4" l="1"/>
  <c r="N35" i="4"/>
  <c r="M24" i="4"/>
  <c r="N24" i="4"/>
  <c r="N36" i="4" l="1"/>
  <c r="M36" i="4"/>
  <c r="N25" i="4"/>
  <c r="M25" i="4"/>
  <c r="M37" i="4" l="1"/>
  <c r="N37" i="4"/>
  <c r="M26" i="4"/>
  <c r="N26" i="4"/>
  <c r="N38" i="4" l="1"/>
  <c r="N40" i="4" s="1"/>
  <c r="M38" i="4"/>
  <c r="M40" i="4" s="1"/>
  <c r="D8" i="2" l="1"/>
  <c r="A8" i="2"/>
  <c r="A9" i="2" s="1"/>
  <c r="E7" i="2"/>
  <c r="D7" i="2"/>
  <c r="B7" i="2"/>
  <c r="C4" i="2"/>
  <c r="C8" i="2" s="1"/>
  <c r="C3" i="2"/>
  <c r="J4" i="3" a="1"/>
  <c r="J27" i="3"/>
  <c r="J26" i="3"/>
  <c r="J12" i="3" a="1"/>
  <c r="K4" i="3" l="1"/>
  <c r="O4" i="3"/>
  <c r="M5" i="3"/>
  <c r="K6" i="3"/>
  <c r="O6" i="3"/>
  <c r="M7" i="3"/>
  <c r="K8" i="3"/>
  <c r="J19" i="3" s="1"/>
  <c r="J20" i="3" s="1"/>
  <c r="O8" i="3"/>
  <c r="L4" i="3"/>
  <c r="J5" i="3"/>
  <c r="N5" i="3"/>
  <c r="L6" i="3"/>
  <c r="J7" i="3"/>
  <c r="N7" i="3"/>
  <c r="L8" i="3"/>
  <c r="M4" i="3"/>
  <c r="J23" i="3" s="1"/>
  <c r="K5" i="3"/>
  <c r="O5" i="3"/>
  <c r="M6" i="3"/>
  <c r="K7" i="3"/>
  <c r="O7" i="3"/>
  <c r="M8" i="3"/>
  <c r="J4" i="3"/>
  <c r="N4" i="3"/>
  <c r="L5" i="3"/>
  <c r="J6" i="3"/>
  <c r="N6" i="3"/>
  <c r="L7" i="3"/>
  <c r="J8" i="3"/>
  <c r="N8" i="3"/>
  <c r="K16" i="3"/>
  <c r="K15" i="3"/>
  <c r="K14" i="3"/>
  <c r="K13" i="3"/>
  <c r="K12" i="3"/>
  <c r="J16" i="3"/>
  <c r="J15" i="3"/>
  <c r="J14" i="3"/>
  <c r="J13" i="3"/>
  <c r="J12" i="3"/>
  <c r="L15" i="3"/>
  <c r="L14" i="3"/>
  <c r="L12" i="3"/>
  <c r="M16" i="3"/>
  <c r="M15" i="3"/>
  <c r="M14" i="3"/>
  <c r="M13" i="3"/>
  <c r="M12" i="3"/>
  <c r="L16" i="3"/>
  <c r="L13" i="3"/>
  <c r="A10" i="2"/>
  <c r="B9" i="2"/>
  <c r="E9" i="2"/>
  <c r="D9" i="2"/>
  <c r="C9" i="2"/>
  <c r="E8" i="2"/>
  <c r="C7" i="2"/>
  <c r="B8" i="2"/>
  <c r="J24" i="3" l="1"/>
  <c r="E10" i="2"/>
  <c r="D10" i="2"/>
  <c r="C10" i="2"/>
  <c r="A11" i="2"/>
  <c r="B10" i="2"/>
  <c r="H26" i="1"/>
  <c r="I17" i="1"/>
  <c r="H17" i="1"/>
  <c r="J16" i="1"/>
  <c r="H16" i="1"/>
  <c r="J15" i="1"/>
  <c r="I15" i="1"/>
  <c r="J14" i="1"/>
  <c r="J18" i="1" s="1"/>
  <c r="J19" i="1" s="1"/>
  <c r="I14" i="1"/>
  <c r="I18" i="1" s="1"/>
  <c r="I19" i="1" s="1"/>
  <c r="H14" i="1"/>
  <c r="H14" i="1" a="1"/>
  <c r="J17" i="1" s="1"/>
  <c r="H25" i="1"/>
  <c r="D11" i="2" l="1"/>
  <c r="C11" i="2"/>
  <c r="A12" i="2"/>
  <c r="B11" i="2"/>
  <c r="E11" i="2"/>
  <c r="H15" i="1"/>
  <c r="H18" i="1" s="1"/>
  <c r="H19" i="1" s="1"/>
  <c r="I16" i="1"/>
  <c r="H4" i="1" a="1"/>
  <c r="J7" i="1" s="1"/>
  <c r="C12" i="2" l="1"/>
  <c r="A13" i="2"/>
  <c r="B12" i="2"/>
  <c r="E12" i="2"/>
  <c r="D12" i="2"/>
  <c r="L5" i="1"/>
  <c r="K5" i="1"/>
  <c r="I6" i="1"/>
  <c r="K4" i="1"/>
  <c r="I5" i="1"/>
  <c r="I4" i="1"/>
  <c r="I8" i="1" s="1"/>
  <c r="H4" i="1"/>
  <c r="I7" i="1"/>
  <c r="H22" i="1" s="1"/>
  <c r="H23" i="1" s="1"/>
  <c r="L6" i="1"/>
  <c r="K6" i="1"/>
  <c r="J6" i="1"/>
  <c r="L7" i="1"/>
  <c r="H7" i="1"/>
  <c r="H6" i="1"/>
  <c r="H5" i="1"/>
  <c r="L4" i="1"/>
  <c r="L8" i="1" s="1"/>
  <c r="L9" i="1" s="1"/>
  <c r="J5" i="1"/>
  <c r="K7" i="1"/>
  <c r="J4" i="1"/>
  <c r="K8" i="1"/>
  <c r="A14" i="2" l="1"/>
  <c r="B13" i="2"/>
  <c r="E13" i="2"/>
  <c r="D13" i="2"/>
  <c r="C13" i="2"/>
  <c r="I9" i="1"/>
  <c r="K9" i="1"/>
  <c r="J8" i="1"/>
  <c r="J9" i="1"/>
  <c r="H8" i="1"/>
  <c r="H9" i="1" s="1"/>
  <c r="E14" i="2" l="1"/>
  <c r="D14" i="2"/>
  <c r="C14" i="2"/>
  <c r="A15" i="2"/>
  <c r="B14" i="2"/>
  <c r="D15" i="2" l="1"/>
  <c r="C15" i="2"/>
  <c r="A16" i="2"/>
  <c r="B15" i="2"/>
  <c r="E15" i="2"/>
  <c r="C16" i="2" l="1"/>
  <c r="A17" i="2"/>
  <c r="B16" i="2"/>
  <c r="E16" i="2"/>
  <c r="D16" i="2"/>
  <c r="A18" i="2" l="1"/>
  <c r="B17" i="2"/>
  <c r="E17" i="2"/>
  <c r="D17" i="2"/>
  <c r="C17" i="2"/>
  <c r="E18" i="2" l="1"/>
  <c r="D18" i="2"/>
  <c r="C18" i="2"/>
  <c r="A19" i="2"/>
  <c r="B18" i="2"/>
  <c r="D19" i="2" l="1"/>
  <c r="C19" i="2"/>
  <c r="A20" i="2"/>
  <c r="B19" i="2"/>
  <c r="E19" i="2"/>
  <c r="C20" i="2" l="1"/>
  <c r="A21" i="2"/>
  <c r="B20" i="2"/>
  <c r="E20" i="2"/>
  <c r="D20" i="2"/>
  <c r="A22" i="2" l="1"/>
  <c r="B21" i="2"/>
  <c r="E21" i="2"/>
  <c r="D21" i="2"/>
  <c r="C21" i="2"/>
  <c r="E22" i="2" l="1"/>
  <c r="D22" i="2"/>
  <c r="C22" i="2"/>
  <c r="A23" i="2"/>
  <c r="B22" i="2"/>
  <c r="D23" i="2" l="1"/>
  <c r="C23" i="2"/>
  <c r="A24" i="2"/>
  <c r="B23" i="2"/>
  <c r="E23" i="2"/>
  <c r="C24" i="2" l="1"/>
  <c r="A25" i="2"/>
  <c r="B24" i="2"/>
  <c r="E24" i="2"/>
  <c r="D24" i="2"/>
  <c r="A26" i="2" l="1"/>
  <c r="B25" i="2"/>
  <c r="E25" i="2"/>
  <c r="D25" i="2"/>
  <c r="C25" i="2"/>
  <c r="E26" i="2" l="1"/>
  <c r="D26" i="2"/>
  <c r="C26" i="2"/>
  <c r="A27" i="2"/>
  <c r="B26" i="2"/>
  <c r="D27" i="2" l="1"/>
  <c r="C27" i="2"/>
  <c r="B27" i="2"/>
  <c r="E27" i="2"/>
  <c r="I44" i="5"/>
  <c r="H34" i="5"/>
  <c r="E44" i="5" s="1"/>
  <c r="D44" i="5" l="1"/>
  <c r="H44" i="5"/>
  <c r="G44" i="5"/>
  <c r="F44" i="5"/>
  <c r="C44" i="5"/>
</calcChain>
</file>

<file path=xl/comments1.xml><?xml version="1.0" encoding="utf-8"?>
<comments xmlns="http://schemas.openxmlformats.org/spreadsheetml/2006/main">
  <authors>
    <author>Emrah Ozpeynirci</author>
  </authors>
  <commentList>
    <comment ref="H4" authorId="0" shapeId="0">
      <text>
        <r>
          <rPr>
            <b/>
            <sz val="9"/>
            <color indexed="81"/>
            <rFont val="Tahoma"/>
            <family val="2"/>
          </rPr>
          <t>Emrah Ozpeynirci:</t>
        </r>
        <r>
          <rPr>
            <sz val="9"/>
            <color indexed="81"/>
            <rFont val="Tahoma"/>
            <family val="2"/>
          </rPr>
          <t xml:space="preserve">
since the default rate to be explained is from the year following the observation of the x variables, th ey range of the LINEST function is shifted one year into the future relative to x range. Which contains the explanatory variables.</t>
        </r>
      </text>
    </comment>
    <comment ref="G21" authorId="0" shapeId="0">
      <text>
        <r>
          <rPr>
            <b/>
            <sz val="9"/>
            <color indexed="81"/>
            <rFont val="Tahoma"/>
            <family val="2"/>
          </rPr>
          <t>Emrah Ozpeynirci:</t>
        </r>
        <r>
          <rPr>
            <sz val="9"/>
            <color indexed="81"/>
            <rFont val="Tahoma"/>
            <family val="2"/>
          </rPr>
          <t xml:space="preserve">
to test whether eliminating two variables is a significant loss in explanatory power we perform F-test. </t>
        </r>
      </text>
    </comment>
    <comment ref="H23" authorId="0" shapeId="0">
      <text>
        <r>
          <rPr>
            <b/>
            <sz val="9"/>
            <color indexed="81"/>
            <rFont val="Tahoma"/>
            <family val="2"/>
          </rPr>
          <t>Emrah Ozpeynirci:</t>
        </r>
        <r>
          <rPr>
            <sz val="9"/>
            <color indexed="81"/>
            <rFont val="Tahoma"/>
            <family val="2"/>
          </rPr>
          <t xml:space="preserve">
the p-value of the F-test is 6.4%. This means if we start with model 2 and include the two variables SPR and BBB , there is a probability of 6.4% that we do not add any explanatory power. Although there s no general rule for what to do in such situation, for the sake of statistical significance variables should be significant at the 5% or better level in order to be included in a model</t>
        </r>
      </text>
    </comment>
  </commentList>
</comments>
</file>

<file path=xl/comments2.xml><?xml version="1.0" encoding="utf-8"?>
<comments xmlns="http://schemas.openxmlformats.org/spreadsheetml/2006/main">
  <authors>
    <author>Emrah Ozpeynirci</author>
  </authors>
  <commentList>
    <comment ref="L6" authorId="0" shapeId="0">
      <text>
        <r>
          <rPr>
            <b/>
            <sz val="9"/>
            <color indexed="81"/>
            <rFont val="Tahoma"/>
            <family val="2"/>
          </rPr>
          <t>Emrah Ozpeynirci:</t>
        </r>
        <r>
          <rPr>
            <sz val="9"/>
            <color indexed="81"/>
            <rFont val="Tahoma"/>
            <family val="2"/>
          </rPr>
          <t xml:space="preserve">
t-stats are well above 1.96 in absolute terms , so, PFR and AGE is highly significant in the mode general model 1, however, other variables show less significance. </t>
        </r>
      </text>
    </comment>
    <comment ref="K12" authorId="0" shapeId="0">
      <text>
        <r>
          <rPr>
            <b/>
            <sz val="9"/>
            <color indexed="81"/>
            <rFont val="Tahoma"/>
            <family val="2"/>
          </rPr>
          <t>Emrah Ozpeynirci:</t>
        </r>
        <r>
          <rPr>
            <sz val="9"/>
            <color indexed="81"/>
            <rFont val="Tahoma"/>
            <family val="2"/>
          </rPr>
          <t xml:space="preserve">
LNN (number of issuers) is highly significant in model 2 than model 1, this is because LNN is highly correlated with the fraction of BBB rated issuers. If two correlated variables are included in one model as is done in model 1, the standard errors tend to increase.</t>
        </r>
      </text>
    </comment>
    <comment ref="I18" authorId="0" shapeId="0">
      <text>
        <r>
          <rPr>
            <b/>
            <sz val="9"/>
            <color indexed="81"/>
            <rFont val="Tahoma"/>
            <family val="2"/>
          </rPr>
          <t>Emrah Ozpeynirci:</t>
        </r>
        <r>
          <rPr>
            <sz val="9"/>
            <color indexed="81"/>
            <rFont val="Tahoma"/>
            <family val="2"/>
          </rPr>
          <t xml:space="preserve">
we use likelihood ratio test whether the model 2 is a sensible restriction of model 1. The more likelihood is lost by imposing the restriction, the larger the LR-statistic will be. Asymptotically, it is chi-squared distributed with degrees of freedom equal to the number of restrictions imposed. here, there are two restrictions (the coefficients of two variables are set to zero)</t>
        </r>
      </text>
    </comment>
    <comment ref="J20" authorId="0" shapeId="0">
      <text>
        <r>
          <rPr>
            <b/>
            <sz val="9"/>
            <color indexed="81"/>
            <rFont val="Tahoma"/>
            <family val="2"/>
          </rPr>
          <t>Emrah Ozpeynirci:</t>
        </r>
        <r>
          <rPr>
            <sz val="9"/>
            <color indexed="81"/>
            <rFont val="Tahoma"/>
            <family val="2"/>
          </rPr>
          <t xml:space="preserve">
ths means , if we add the two variables SPR and BBB to model 2, there is a probability of 23% that we not add explanatory power. </t>
        </r>
      </text>
    </comment>
    <comment ref="I22" authorId="0" shapeId="0">
      <text>
        <r>
          <rPr>
            <b/>
            <sz val="9"/>
            <color indexed="81"/>
            <rFont val="Tahoma"/>
            <family val="2"/>
          </rPr>
          <t>Emrah Ozpeynirci:</t>
        </r>
        <r>
          <rPr>
            <sz val="9"/>
            <color indexed="81"/>
            <rFont val="Tahoma"/>
            <family val="2"/>
          </rPr>
          <t xml:space="preserve">
predictions of default rate can be based on lambda. Dividing lambda by the number of issuers N yields the epected default rate.</t>
        </r>
      </text>
    </comment>
    <comment ref="J26" authorId="0" shapeId="0">
      <text>
        <r>
          <rPr>
            <b/>
            <sz val="9"/>
            <color indexed="81"/>
            <rFont val="Tahoma"/>
            <family val="2"/>
          </rPr>
          <t>Emrah Ozpeynirci:</t>
        </r>
        <r>
          <rPr>
            <sz val="9"/>
            <color indexed="81"/>
            <rFont val="Tahoma"/>
            <family val="2"/>
          </rPr>
          <t xml:space="preserve">
function POITREND returns the number o defaults , not the default rate</t>
        </r>
      </text>
    </comment>
  </commentList>
</comments>
</file>

<file path=xl/comments3.xml><?xml version="1.0" encoding="utf-8"?>
<comments xmlns="http://schemas.openxmlformats.org/spreadsheetml/2006/main">
  <authors>
    <author>Emrah Ozpeynirci</author>
  </authors>
  <commentList>
    <comment ref="B1" authorId="0" shapeId="0">
      <text>
        <r>
          <rPr>
            <b/>
            <sz val="9"/>
            <color indexed="81"/>
            <rFont val="Tahoma"/>
            <charset val="1"/>
          </rPr>
          <t>Emrah Ozpeynirci:</t>
        </r>
        <r>
          <rPr>
            <sz val="9"/>
            <color indexed="81"/>
            <rFont val="Tahoma"/>
            <charset val="1"/>
          </rPr>
          <t xml:space="preserve">
Investment Grade Default Rate </t>
        </r>
      </text>
    </comment>
  </commentList>
</comments>
</file>

<file path=xl/sharedStrings.xml><?xml version="1.0" encoding="utf-8"?>
<sst xmlns="http://schemas.openxmlformats.org/spreadsheetml/2006/main" count="264" uniqueCount="88">
  <si>
    <t>year</t>
  </si>
  <si>
    <t>IDR</t>
  </si>
  <si>
    <t>PRF</t>
  </si>
  <si>
    <t>AGE</t>
  </si>
  <si>
    <t>BBB</t>
  </si>
  <si>
    <t>SPR</t>
  </si>
  <si>
    <t>#NA</t>
  </si>
  <si>
    <t>Model 1</t>
  </si>
  <si>
    <t>CON</t>
  </si>
  <si>
    <t>Coeff</t>
  </si>
  <si>
    <t>SE(coeff)</t>
  </si>
  <si>
    <t>R²/RMSE</t>
  </si>
  <si>
    <t>F/DF</t>
  </si>
  <si>
    <t>t-stat</t>
  </si>
  <si>
    <t>=L4/L5</t>
  </si>
  <si>
    <t>p-value</t>
  </si>
  <si>
    <t>=TDIST(ABS(H8),$I7,2)</t>
  </si>
  <si>
    <t>=LINEST(B6:B26,C5:D25,1,1)</t>
  </si>
  <si>
    <t>Model 2</t>
  </si>
  <si>
    <t>F-test for b(SPR)=b(BBB)=0 in model 1</t>
  </si>
  <si>
    <t>F</t>
  </si>
  <si>
    <t>=(H6-H16)/(1-H6)*I7/2</t>
  </si>
  <si>
    <t>=FDIST(H22,2,I7)</t>
  </si>
  <si>
    <t>Predictions for 2006 investment grade default rate</t>
  </si>
  <si>
    <t>=TREND(B6:B26,C5:F25,C26:F26)</t>
  </si>
  <si>
    <t>=TREND(B6:B26,C5:D25,C26:D26)</t>
  </si>
  <si>
    <t>Notes: IDR=invesment grade default rate, PRF=forecasted change in corporate profits,</t>
  </si>
  <si>
    <t>AGE=fraction of new issuers, BBB=fraction of BBB-rated issuers, SPR=spread on Baa bonds</t>
  </si>
  <si>
    <t>IDR, AGE and BBB own calculations based on Standard &amp; Poors (2006), Annual 2005 Global Corporate Default Study And Rating Transitions</t>
  </si>
  <si>
    <t xml:space="preserve">Binomial and Poisson density functions compared </t>
  </si>
  <si>
    <t>Binomial</t>
  </si>
  <si>
    <t>Poisson</t>
  </si>
  <si>
    <t># Issuers</t>
  </si>
  <si>
    <t>Default prob</t>
  </si>
  <si>
    <t>#Defaults</t>
  </si>
  <si>
    <t>Densities-&gt;</t>
  </si>
  <si>
    <t>=BINOMDIST($A27,B$3,B$4,0)</t>
  </si>
  <si>
    <t>=POISSON($A27,E$4*E$3,0)</t>
  </si>
  <si>
    <t>D</t>
  </si>
  <si>
    <t>LNN</t>
  </si>
  <si>
    <t xml:space="preserve">Notes: D=number of invesment grade defaulters, LN log number of issuers, </t>
  </si>
  <si>
    <t>PRF=forecasted change in corporate profits, AGE=fraction of new issuers, BBB=fraction of BBB-rated issuers, SPR=spread on Baa bonds</t>
  </si>
  <si>
    <t>=POIREG(B6:B26,C5:G25)</t>
  </si>
  <si>
    <t>Pseudo R²/lnL</t>
  </si>
  <si>
    <t>=poireg(B6:B26,C5:E25)</t>
  </si>
  <si>
    <t>LR-test for b(SPR)=b(BBB)=0 in model 1</t>
  </si>
  <si>
    <t>chisquared</t>
  </si>
  <si>
    <t>=2*(K8-K16)</t>
  </si>
  <si>
    <t>=CHIDIST(J19,2)</t>
  </si>
  <si>
    <t>=EXP(J4+SUMPRODUCT(K4:O4,C26:G26)-C26)</t>
  </si>
  <si>
    <t>Alternatively with function POITREND</t>
  </si>
  <si>
    <t>=poitrend(B6:B26,C5:G25,C26:G26)/EXP(C26)</t>
  </si>
  <si>
    <t>IDN</t>
  </si>
  <si>
    <t>LIN</t>
  </si>
  <si>
    <t>PROFIT</t>
  </si>
  <si>
    <t>SPREAD</t>
  </si>
  <si>
    <t>Sum of squared prediction errors</t>
  </si>
  <si>
    <t>Average</t>
  </si>
  <si>
    <t>Linear-M1</t>
  </si>
  <si>
    <t>Linear-M2</t>
  </si>
  <si>
    <t>Poisson-M1</t>
  </si>
  <si>
    <t>Poisson-M2</t>
  </si>
  <si>
    <t>Has the trailing average lower squared errors in year t? (yes=1)</t>
  </si>
  <si>
    <t>P-values for sign test (H0:Average is better)</t>
  </si>
  <si>
    <t>Global Average One-Year Transition Rates, 1981 to 2005 (%)*</t>
  </si>
  <si>
    <t>From/To</t>
  </si>
  <si>
    <t>AAA</t>
  </si>
  <si>
    <t>AA</t>
  </si>
  <si>
    <t>A</t>
  </si>
  <si>
    <t>BB</t>
  </si>
  <si>
    <t>B</t>
  </si>
  <si>
    <t>CCC/C</t>
  </si>
  <si>
    <t>NR</t>
  </si>
  <si>
    <t>Static Pool One-Year Transition Matrices (%)**</t>
  </si>
  <si>
    <t>2002 Static Pool</t>
  </si>
  <si>
    <t>Issuers</t>
  </si>
  <si>
    <t>*Table 9 from Standard &amp; Poors (2006), Annual 2005 Global Corporate Default Study And Rating Transitions</t>
  </si>
  <si>
    <t>*Table 24 from Standard &amp; Poors (2006).</t>
  </si>
  <si>
    <t>Transition rates with N.R.s and zeroes removed (in %)</t>
  </si>
  <si>
    <t>1981-2005</t>
  </si>
  <si>
    <t>Thresholds</t>
  </si>
  <si>
    <t>chart for BB (scatterplot with two series: (x,density) and (thresolds, bar height)</t>
  </si>
  <si>
    <t>x</t>
  </si>
  <si>
    <t>density</t>
  </si>
  <si>
    <t>thresholds</t>
  </si>
  <si>
    <t>bar height</t>
  </si>
  <si>
    <t>Plust Shift</t>
  </si>
  <si>
    <t>Transition rate with credit index set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</si>
</sst>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
    <numFmt numFmtId="165" formatCode="0.000"/>
    <numFmt numFmtId="166" formatCode="0.0000"/>
    <numFmt numFmtId="167" formatCode="0.0%"/>
    <numFmt numFmtId="168" formatCode="0.000%"/>
    <numFmt numFmtId="169" formatCode="0.0000%"/>
  </numFmts>
  <fonts count="16" x14ac:knownFonts="1">
    <font>
      <sz val="11"/>
      <color theme="1"/>
      <name val="Calibri"/>
      <family val="2"/>
      <scheme val="minor"/>
    </font>
    <font>
      <b/>
      <sz val="10"/>
      <name val="Arial"/>
      <family val="2"/>
    </font>
    <font>
      <sz val="8"/>
      <name val="Arial"/>
      <family val="2"/>
    </font>
    <font>
      <sz val="9"/>
      <color indexed="81"/>
      <name val="Tahoma"/>
      <family val="2"/>
    </font>
    <font>
      <b/>
      <sz val="9"/>
      <color indexed="81"/>
      <name val="Tahoma"/>
      <family val="2"/>
    </font>
    <font>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1"/>
      <color theme="1"/>
      <name val="Calibri"/>
      <family val="2"/>
      <scheme val="minor"/>
    </font>
    <font>
      <sz val="10"/>
      <name val="Arial"/>
      <family val="2"/>
    </font>
    <font>
      <i/>
      <sz val="10"/>
      <name val="Arial"/>
      <family val="2"/>
    </font>
    <font>
      <b/>
      <u/>
      <sz val="11"/>
      <color theme="1"/>
      <name val="Calibri"/>
      <family val="2"/>
      <scheme val="minor"/>
    </font>
    <font>
      <sz val="9"/>
      <color indexed="81"/>
      <name val="Tahoma"/>
      <charset val="1"/>
    </font>
    <font>
      <b/>
      <sz val="9"/>
      <color indexed="81"/>
      <name val="Tahoma"/>
      <charset val="1"/>
    </font>
    <font>
      <b/>
      <sz val="11"/>
      <color rgb="FFFF0000"/>
      <name val="Calibri"/>
      <family val="2"/>
      <scheme val="minor"/>
    </font>
  </fonts>
  <fills count="7">
    <fill>
      <patternFill patternType="none"/>
    </fill>
    <fill>
      <patternFill patternType="gray125"/>
    </fill>
    <fill>
      <patternFill patternType="solid">
        <fgColor indexed="2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6" tint="0.59999389629810485"/>
        <bgColor indexed="65"/>
      </patternFill>
    </fill>
  </fills>
  <borders count="1">
    <border>
      <left/>
      <right/>
      <top/>
      <bottom/>
      <diagonal/>
    </border>
  </borders>
  <cellStyleXfs count="6">
    <xf numFmtId="0" fontId="0" fillId="0" borderId="0"/>
    <xf numFmtId="9" fontId="5" fillId="0" borderId="0" applyFont="0" applyFill="0" applyBorder="0" applyAlignment="0" applyProtection="0"/>
    <xf numFmtId="0" fontId="6" fillId="3" borderId="0" applyNumberFormat="0" applyBorder="0" applyAlignment="0" applyProtection="0"/>
    <xf numFmtId="0" fontId="7" fillId="4" borderId="0" applyNumberFormat="0" applyBorder="0" applyAlignment="0" applyProtection="0"/>
    <xf numFmtId="0" fontId="8" fillId="5" borderId="0" applyNumberFormat="0" applyBorder="0" applyAlignment="0" applyProtection="0"/>
    <xf numFmtId="0" fontId="5" fillId="6" borderId="0" applyNumberFormat="0" applyBorder="0" applyAlignment="0" applyProtection="0"/>
  </cellStyleXfs>
  <cellXfs count="41">
    <xf numFmtId="0" fontId="0" fillId="0" borderId="0" xfId="0"/>
    <xf numFmtId="0" fontId="0" fillId="0" borderId="0" xfId="0" applyAlignment="1">
      <alignment horizontal="right"/>
    </xf>
    <xf numFmtId="1" fontId="0" fillId="0" borderId="0" xfId="0" applyNumberFormat="1"/>
    <xf numFmtId="2" fontId="0" fillId="0" borderId="0" xfId="0" applyNumberFormat="1"/>
    <xf numFmtId="164" fontId="0" fillId="0" borderId="0" xfId="0" applyNumberFormat="1"/>
    <xf numFmtId="164" fontId="0" fillId="0" borderId="0" xfId="0" applyNumberFormat="1" applyAlignment="1">
      <alignment horizontal="right"/>
    </xf>
    <xf numFmtId="0" fontId="1" fillId="0" borderId="0" xfId="0" applyFont="1" applyAlignment="1">
      <alignment horizontal="left"/>
    </xf>
    <xf numFmtId="165" fontId="0" fillId="2" borderId="0" xfId="0" applyNumberFormat="1" applyFill="1"/>
    <xf numFmtId="1" fontId="0" fillId="2" borderId="0" xfId="0" applyNumberFormat="1" applyFill="1"/>
    <xf numFmtId="165" fontId="0" fillId="0" borderId="0" xfId="0" applyNumberFormat="1"/>
    <xf numFmtId="49" fontId="0" fillId="0" borderId="0" xfId="0" applyNumberFormat="1"/>
    <xf numFmtId="166" fontId="0" fillId="0" borderId="0" xfId="0" applyNumberFormat="1"/>
    <xf numFmtId="0" fontId="2" fillId="0" borderId="0" xfId="0" applyFont="1"/>
    <xf numFmtId="0" fontId="1" fillId="0" borderId="0" xfId="0" applyFont="1"/>
    <xf numFmtId="167" fontId="0" fillId="0" borderId="0" xfId="1" applyNumberFormat="1" applyFont="1"/>
    <xf numFmtId="168" fontId="0" fillId="0" borderId="0" xfId="1" applyNumberFormat="1" applyFont="1"/>
    <xf numFmtId="49" fontId="0" fillId="0" borderId="0" xfId="1" applyNumberFormat="1" applyFont="1"/>
    <xf numFmtId="169" fontId="0" fillId="0" borderId="0" xfId="1" applyNumberFormat="1" applyFont="1"/>
    <xf numFmtId="2" fontId="0" fillId="2" borderId="0" xfId="0" applyNumberFormat="1" applyFill="1"/>
    <xf numFmtId="0" fontId="0" fillId="2" borderId="0" xfId="0" applyFill="1"/>
    <xf numFmtId="0" fontId="11" fillId="0" borderId="0" xfId="0" applyFont="1" applyAlignment="1">
      <alignment horizontal="left"/>
    </xf>
    <xf numFmtId="2" fontId="8" fillId="5" borderId="0" xfId="4" applyNumberFormat="1"/>
    <xf numFmtId="0" fontId="8" fillId="5" borderId="0" xfId="4"/>
    <xf numFmtId="2" fontId="6" fillId="3" borderId="0" xfId="2" applyNumberFormat="1"/>
    <xf numFmtId="0" fontId="7" fillId="4" borderId="0" xfId="3"/>
    <xf numFmtId="2" fontId="5" fillId="6" borderId="0" xfId="5" applyNumberFormat="1" applyAlignment="1">
      <alignment horizontal="right"/>
    </xf>
    <xf numFmtId="2" fontId="5" fillId="6" borderId="0" xfId="5" applyNumberFormat="1"/>
    <xf numFmtId="0" fontId="5" fillId="6" borderId="0" xfId="5"/>
    <xf numFmtId="2" fontId="12" fillId="6" borderId="0" xfId="5" applyNumberFormat="1" applyFont="1" applyAlignment="1">
      <alignment horizontal="right"/>
    </xf>
    <xf numFmtId="0" fontId="8" fillId="5" borderId="0" xfId="4" applyAlignment="1">
      <alignment horizontal="right"/>
    </xf>
    <xf numFmtId="9" fontId="0" fillId="0" borderId="0" xfId="1" applyFont="1"/>
    <xf numFmtId="10" fontId="0" fillId="0" borderId="0" xfId="1" applyNumberFormat="1" applyFont="1"/>
    <xf numFmtId="10" fontId="10" fillId="0" borderId="0" xfId="1" applyNumberFormat="1" applyFont="1"/>
    <xf numFmtId="0" fontId="9" fillId="0" borderId="0" xfId="0" applyFont="1"/>
    <xf numFmtId="0" fontId="15" fillId="0" borderId="0" xfId="0" applyFont="1"/>
    <xf numFmtId="0" fontId="10" fillId="0" borderId="0" xfId="0" applyFont="1" applyAlignment="1">
      <alignment horizontal="left"/>
    </xf>
    <xf numFmtId="0" fontId="7" fillId="4" borderId="0" xfId="3" applyAlignment="1">
      <alignment horizontal="left"/>
    </xf>
    <xf numFmtId="165" fontId="10" fillId="0" borderId="0" xfId="0" applyNumberFormat="1" applyFont="1"/>
    <xf numFmtId="2" fontId="10" fillId="0" borderId="0" xfId="0" applyNumberFormat="1" applyFont="1"/>
    <xf numFmtId="0" fontId="10" fillId="0" borderId="0" xfId="0" applyFont="1"/>
    <xf numFmtId="165" fontId="7" fillId="4" borderId="0" xfId="3" applyNumberFormat="1"/>
  </cellXfs>
  <cellStyles count="6">
    <cellStyle name="40% - Accent3" xfId="5" builtinId="39"/>
    <cellStyle name="Bad" xfId="3" builtinId="27"/>
    <cellStyle name="Good" xfId="2" builtinId="26"/>
    <cellStyle name="Neutral" xfId="4" builtinId="2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2500 issuers default probability 0.1%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'poisson reg'!$B$2</c:f>
              <c:strCache>
                <c:ptCount val="1"/>
                <c:pt idx="0">
                  <c:v>Binomial</c:v>
                </c:pt>
              </c:strCache>
            </c:strRef>
          </c:tx>
          <c:spPr>
            <a:ln w="28575" cap="rnd">
              <a:solidFill>
                <a:schemeClr val="accent1"/>
              </a:solidFill>
              <a:round/>
            </a:ln>
            <a:effectLst/>
          </c:spPr>
          <c:marker>
            <c:symbol val="none"/>
          </c:marker>
          <c:cat>
            <c:numRef>
              <c:f>'poisson reg'!$A$7:$A$27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'poisson reg'!$B$7:$B$27</c:f>
              <c:numCache>
                <c:formatCode>0.000%</c:formatCode>
                <c:ptCount val="21"/>
                <c:pt idx="0">
                  <c:v>8.198238810784679E-2</c:v>
                </c:pt>
                <c:pt idx="1">
                  <c:v>0.20516113140101794</c:v>
                </c:pt>
                <c:pt idx="2">
                  <c:v>0.25660543912469663</c:v>
                </c:pt>
                <c:pt idx="3">
                  <c:v>0.21388067632081817</c:v>
                </c:pt>
                <c:pt idx="4">
                  <c:v>0.13364866085412486</c:v>
                </c:pt>
                <c:pt idx="5">
                  <c:v>6.678419569407322E-2</c:v>
                </c:pt>
                <c:pt idx="6">
                  <c:v>2.7798893603055184E-2</c:v>
                </c:pt>
                <c:pt idx="7">
                  <c:v>9.9142629266437462E-3</c:v>
                </c:pt>
                <c:pt idx="8">
                  <c:v>3.092624809324678E-3</c:v>
                </c:pt>
                <c:pt idx="9">
                  <c:v>8.5717061782194473E-4</c:v>
                </c:pt>
                <c:pt idx="10">
                  <c:v>2.1373493583528135E-4</c:v>
                </c:pt>
                <c:pt idx="11">
                  <c:v>4.8430247541163981E-5</c:v>
                </c:pt>
                <c:pt idx="12">
                  <c:v>1.0055295806636426E-5</c:v>
                </c:pt>
                <c:pt idx="13">
                  <c:v>1.9263552758074506E-6</c:v>
                </c:pt>
                <c:pt idx="14">
                  <c:v>3.4254580086751946E-7</c:v>
                </c:pt>
                <c:pt idx="15">
                  <c:v>5.6828085482592722E-8</c:v>
                </c:pt>
                <c:pt idx="16">
                  <c:v>8.8349469734886734E-9</c:v>
                </c:pt>
                <c:pt idx="17">
                  <c:v>1.2922338975531902E-9</c:v>
                </c:pt>
                <c:pt idx="18">
                  <c:v>1.7843492201226635E-10</c:v>
                </c:pt>
                <c:pt idx="19">
                  <c:v>2.3332568169982951E-11</c:v>
                </c:pt>
                <c:pt idx="20">
                  <c:v>2.8973023838702603E-12</c:v>
                </c:pt>
              </c:numCache>
            </c:numRef>
          </c:val>
          <c:smooth val="0"/>
          <c:extLst>
            <c:ext xmlns:c16="http://schemas.microsoft.com/office/drawing/2014/chart" uri="{C3380CC4-5D6E-409C-BE32-E72D297353CC}">
              <c16:uniqueId val="{00000000-6A78-4431-9F3B-A12A8B38B45E}"/>
            </c:ext>
          </c:extLst>
        </c:ser>
        <c:ser>
          <c:idx val="1"/>
          <c:order val="1"/>
          <c:tx>
            <c:strRef>
              <c:f>'poisson reg'!$C$2</c:f>
              <c:strCache>
                <c:ptCount val="1"/>
                <c:pt idx="0">
                  <c:v>Poisson</c:v>
                </c:pt>
              </c:strCache>
            </c:strRef>
          </c:tx>
          <c:spPr>
            <a:ln w="28575" cap="rnd">
              <a:solidFill>
                <a:schemeClr val="lt1">
                  <a:shade val="50000"/>
                </a:schemeClr>
              </a:solidFill>
              <a:round/>
            </a:ln>
            <a:effectLst/>
          </c:spPr>
          <c:marker>
            <c:symbol val="none"/>
          </c:marker>
          <c:cat>
            <c:numRef>
              <c:f>'poisson reg'!$A$7:$A$27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'poisson reg'!$C$7:$C$27</c:f>
              <c:numCache>
                <c:formatCode>0.000%</c:formatCode>
                <c:ptCount val="21"/>
                <c:pt idx="0">
                  <c:v>8.20849986238988E-2</c:v>
                </c:pt>
                <c:pt idx="1">
                  <c:v>0.20521249655974699</c:v>
                </c:pt>
                <c:pt idx="2">
                  <c:v>0.25651562069968376</c:v>
                </c:pt>
                <c:pt idx="3">
                  <c:v>0.21376301724973648</c:v>
                </c:pt>
                <c:pt idx="4">
                  <c:v>0.13360188578108526</c:v>
                </c:pt>
                <c:pt idx="5">
                  <c:v>6.6800942890542642E-2</c:v>
                </c:pt>
                <c:pt idx="6">
                  <c:v>2.783372620439278E-2</c:v>
                </c:pt>
                <c:pt idx="7">
                  <c:v>9.9406165015688587E-3</c:v>
                </c:pt>
                <c:pt idx="8">
                  <c:v>3.1064426567402647E-3</c:v>
                </c:pt>
                <c:pt idx="9">
                  <c:v>8.6290073798340724E-4</c:v>
                </c:pt>
                <c:pt idx="10">
                  <c:v>2.1572518449585165E-4</c:v>
                </c:pt>
                <c:pt idx="11">
                  <c:v>4.902845102178448E-5</c:v>
                </c:pt>
                <c:pt idx="12">
                  <c:v>1.0214260629538453E-5</c:v>
                </c:pt>
                <c:pt idx="13">
                  <c:v>1.9642808902958537E-6</c:v>
                </c:pt>
                <c:pt idx="14">
                  <c:v>3.507644446956873E-7</c:v>
                </c:pt>
                <c:pt idx="15">
                  <c:v>5.8460740782614688E-8</c:v>
                </c:pt>
                <c:pt idx="16">
                  <c:v>9.1344907472835349E-9</c:v>
                </c:pt>
                <c:pt idx="17">
                  <c:v>1.343307462835813E-9</c:v>
                </c:pt>
                <c:pt idx="18">
                  <c:v>1.8657048094941798E-10</c:v>
                </c:pt>
                <c:pt idx="19">
                  <c:v>2.4548747493344598E-11</c:v>
                </c:pt>
                <c:pt idx="20">
                  <c:v>3.0685934366680759E-12</c:v>
                </c:pt>
              </c:numCache>
            </c:numRef>
          </c:val>
          <c:smooth val="0"/>
          <c:extLst>
            <c:ext xmlns:c16="http://schemas.microsoft.com/office/drawing/2014/chart" uri="{C3380CC4-5D6E-409C-BE32-E72D297353CC}">
              <c16:uniqueId val="{00000001-6A78-4431-9F3B-A12A8B38B45E}"/>
            </c:ext>
          </c:extLst>
        </c:ser>
        <c:dLbls>
          <c:showLegendKey val="0"/>
          <c:showVal val="0"/>
          <c:showCatName val="0"/>
          <c:showSerName val="0"/>
          <c:showPercent val="0"/>
          <c:showBubbleSize val="0"/>
        </c:dLbls>
        <c:smooth val="0"/>
        <c:axId val="607897048"/>
        <c:axId val="607897376"/>
      </c:lineChart>
      <c:catAx>
        <c:axId val="607897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897376"/>
        <c:crosses val="autoZero"/>
        <c:auto val="1"/>
        <c:lblAlgn val="ctr"/>
        <c:lblOffset val="100"/>
        <c:noMultiLvlLbl val="0"/>
      </c:catAx>
      <c:valAx>
        <c:axId val="6078973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89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20 issuers default probability 40.0%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'poisson reg'!$B$2</c:f>
              <c:strCache>
                <c:ptCount val="1"/>
                <c:pt idx="0">
                  <c:v>Binomial</c:v>
                </c:pt>
              </c:strCache>
            </c:strRef>
          </c:tx>
          <c:spPr>
            <a:ln w="28575" cap="rnd">
              <a:solidFill>
                <a:schemeClr val="accent1"/>
              </a:solidFill>
              <a:round/>
            </a:ln>
            <a:effectLst/>
          </c:spPr>
          <c:marker>
            <c:symbol val="none"/>
          </c:marker>
          <c:cat>
            <c:numRef>
              <c:f>'poisson reg'!$A$7:$A$27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'poisson reg'!$D$7:$D$27</c:f>
              <c:numCache>
                <c:formatCode>0.000%</c:formatCode>
                <c:ptCount val="21"/>
                <c:pt idx="0">
                  <c:v>3.6561584400629767E-5</c:v>
                </c:pt>
                <c:pt idx="1">
                  <c:v>4.8748779200839712E-4</c:v>
                </c:pt>
                <c:pt idx="2">
                  <c:v>3.0874226827198462E-3</c:v>
                </c:pt>
                <c:pt idx="3">
                  <c:v>1.2349690730879388E-2</c:v>
                </c:pt>
                <c:pt idx="4">
                  <c:v>3.4990790404158256E-2</c:v>
                </c:pt>
                <c:pt idx="5">
                  <c:v>7.464701952887097E-2</c:v>
                </c:pt>
                <c:pt idx="6">
                  <c:v>0.12441169921478495</c:v>
                </c:pt>
                <c:pt idx="7">
                  <c:v>0.16588226561971325</c:v>
                </c:pt>
                <c:pt idx="8">
                  <c:v>0.17970578775468932</c:v>
                </c:pt>
                <c:pt idx="9">
                  <c:v>0.15973847800416824</c:v>
                </c:pt>
                <c:pt idx="10">
                  <c:v>0.11714155053639005</c:v>
                </c:pt>
                <c:pt idx="11">
                  <c:v>7.0994879112963649E-2</c:v>
                </c:pt>
                <c:pt idx="12">
                  <c:v>3.5497439556481852E-2</c:v>
                </c:pt>
                <c:pt idx="13">
                  <c:v>1.4563052125736118E-2</c:v>
                </c:pt>
                <c:pt idx="14">
                  <c:v>4.8543507085787125E-3</c:v>
                </c:pt>
                <c:pt idx="15">
                  <c:v>1.2944935222876587E-3</c:v>
                </c:pt>
                <c:pt idx="16">
                  <c:v>2.6968615047659553E-4</c:v>
                </c:pt>
                <c:pt idx="17">
                  <c:v>4.2303709878681491E-5</c:v>
                </c:pt>
                <c:pt idx="18">
                  <c:v>4.7004122087423991E-6</c:v>
                </c:pt>
                <c:pt idx="19">
                  <c:v>3.2985348833280063E-7</c:v>
                </c:pt>
                <c:pt idx="20">
                  <c:v>1.0995116277760029E-8</c:v>
                </c:pt>
              </c:numCache>
            </c:numRef>
          </c:val>
          <c:smooth val="0"/>
          <c:extLst>
            <c:ext xmlns:c16="http://schemas.microsoft.com/office/drawing/2014/chart" uri="{C3380CC4-5D6E-409C-BE32-E72D297353CC}">
              <c16:uniqueId val="{00000000-1140-4386-91BB-36433FED832D}"/>
            </c:ext>
          </c:extLst>
        </c:ser>
        <c:ser>
          <c:idx val="1"/>
          <c:order val="1"/>
          <c:tx>
            <c:strRef>
              <c:f>'poisson reg'!$C$2</c:f>
              <c:strCache>
                <c:ptCount val="1"/>
                <c:pt idx="0">
                  <c:v>Poisson</c:v>
                </c:pt>
              </c:strCache>
            </c:strRef>
          </c:tx>
          <c:spPr>
            <a:ln w="28575" cap="rnd">
              <a:solidFill>
                <a:schemeClr val="accent2"/>
              </a:solidFill>
              <a:round/>
            </a:ln>
            <a:effectLst/>
          </c:spPr>
          <c:marker>
            <c:symbol val="none"/>
          </c:marker>
          <c:cat>
            <c:numRef>
              <c:f>'poisson reg'!$A$7:$A$27</c:f>
              <c:numCache>
                <c:formatCode>General</c:formatCode>
                <c:ptCount val="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numCache>
            </c:numRef>
          </c:cat>
          <c:val>
            <c:numRef>
              <c:f>'poisson reg'!$E$7:$E$27</c:f>
              <c:numCache>
                <c:formatCode>0.000%</c:formatCode>
                <c:ptCount val="21"/>
                <c:pt idx="0">
                  <c:v>3.3546262790251185E-4</c:v>
                </c:pt>
                <c:pt idx="1">
                  <c:v>2.683701023220094E-3</c:v>
                </c:pt>
                <c:pt idx="2">
                  <c:v>1.0734804092880379E-2</c:v>
                </c:pt>
                <c:pt idx="3">
                  <c:v>2.8626144247681014E-2</c:v>
                </c:pt>
                <c:pt idx="4">
                  <c:v>5.7252288495362028E-2</c:v>
                </c:pt>
                <c:pt idx="5">
                  <c:v>9.1603661592579252E-2</c:v>
                </c:pt>
                <c:pt idx="6">
                  <c:v>0.12213821545677231</c:v>
                </c:pt>
                <c:pt idx="7">
                  <c:v>0.13958653195059695</c:v>
                </c:pt>
                <c:pt idx="8">
                  <c:v>0.13958653195059695</c:v>
                </c:pt>
                <c:pt idx="9">
                  <c:v>0.12407691728941951</c:v>
                </c:pt>
                <c:pt idx="10">
                  <c:v>9.9261533831535603E-2</c:v>
                </c:pt>
                <c:pt idx="11">
                  <c:v>7.2190206422934985E-2</c:v>
                </c:pt>
                <c:pt idx="12">
                  <c:v>4.8126804281956682E-2</c:v>
                </c:pt>
                <c:pt idx="13">
                  <c:v>2.961649494274254E-2</c:v>
                </c:pt>
                <c:pt idx="14">
                  <c:v>1.6923711395852893E-2</c:v>
                </c:pt>
                <c:pt idx="15">
                  <c:v>9.0259794111215482E-3</c:v>
                </c:pt>
                <c:pt idx="16">
                  <c:v>4.5129897055607724E-3</c:v>
                </c:pt>
                <c:pt idx="17">
                  <c:v>2.1237598614403594E-3</c:v>
                </c:pt>
                <c:pt idx="18">
                  <c:v>9.4389327175127167E-4</c:v>
                </c:pt>
                <c:pt idx="19">
                  <c:v>3.9742874600053648E-4</c:v>
                </c:pt>
                <c:pt idx="20">
                  <c:v>1.589714984002141E-4</c:v>
                </c:pt>
              </c:numCache>
            </c:numRef>
          </c:val>
          <c:smooth val="0"/>
          <c:extLst>
            <c:ext xmlns:c16="http://schemas.microsoft.com/office/drawing/2014/chart" uri="{C3380CC4-5D6E-409C-BE32-E72D297353CC}">
              <c16:uniqueId val="{00000001-1140-4386-91BB-36433FED832D}"/>
            </c:ext>
          </c:extLst>
        </c:ser>
        <c:dLbls>
          <c:showLegendKey val="0"/>
          <c:showVal val="0"/>
          <c:showCatName val="0"/>
          <c:showSerName val="0"/>
          <c:showPercent val="0"/>
          <c:showBubbleSize val="0"/>
        </c:dLbls>
        <c:smooth val="0"/>
        <c:axId val="607897048"/>
        <c:axId val="607897376"/>
      </c:lineChart>
      <c:catAx>
        <c:axId val="607897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897376"/>
        <c:crosses val="autoZero"/>
        <c:auto val="1"/>
        <c:lblAlgn val="ctr"/>
        <c:lblOffset val="100"/>
        <c:noMultiLvlLbl val="0"/>
      </c:catAx>
      <c:valAx>
        <c:axId val="607897376"/>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897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Sum</a:t>
            </a:r>
            <a:r>
              <a:rPr lang="en-GB" baseline="0"/>
              <a:t> of squarred prediction errors</a:t>
            </a:r>
            <a:endParaRPr lang="en-GB"/>
          </a:p>
        </c:rich>
      </c:tx>
      <c:layout>
        <c:manualLayout>
          <c:xMode val="edge"/>
          <c:yMode val="edge"/>
          <c:x val="0.21635411198600174"/>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backtesting!$J$15</c:f>
              <c:strCache>
                <c:ptCount val="1"/>
                <c:pt idx="0">
                  <c:v>Average</c:v>
                </c:pt>
              </c:strCache>
            </c:strRef>
          </c:tx>
          <c:spPr>
            <a:ln w="28575" cap="rnd">
              <a:solidFill>
                <a:srgbClr val="FF0000"/>
              </a:solidFill>
              <a:prstDash val="sysDash"/>
              <a:round/>
            </a:ln>
            <a:effectLst/>
          </c:spPr>
          <c:marker>
            <c:symbol val="none"/>
          </c:marker>
          <c:cat>
            <c:numRef>
              <c:f>backtesting!$A$16:$A$26</c:f>
              <c:numCache>
                <c:formatCode>General</c:formatCode>
                <c:ptCount val="11"/>
                <c:pt idx="0">
                  <c:v>1995</c:v>
                </c:pt>
                <c:pt idx="1">
                  <c:v>1996</c:v>
                </c:pt>
                <c:pt idx="2">
                  <c:v>1997</c:v>
                </c:pt>
                <c:pt idx="3">
                  <c:v>1998</c:v>
                </c:pt>
                <c:pt idx="4">
                  <c:v>1999</c:v>
                </c:pt>
                <c:pt idx="5">
                  <c:v>2000</c:v>
                </c:pt>
                <c:pt idx="6">
                  <c:v>2001</c:v>
                </c:pt>
                <c:pt idx="7">
                  <c:v>2002</c:v>
                </c:pt>
                <c:pt idx="8">
                  <c:v>2003</c:v>
                </c:pt>
                <c:pt idx="9">
                  <c:v>2004</c:v>
                </c:pt>
                <c:pt idx="10">
                  <c:v>2005</c:v>
                </c:pt>
              </c:numCache>
            </c:numRef>
          </c:cat>
          <c:val>
            <c:numRef>
              <c:f>backtesting!$J$16:$J$26</c:f>
              <c:numCache>
                <c:formatCode>0.00%</c:formatCode>
                <c:ptCount val="11"/>
                <c:pt idx="1">
                  <c:v>6.0890927323546456E-3</c:v>
                </c:pt>
                <c:pt idx="2">
                  <c:v>6.1166030536385285E-3</c:v>
                </c:pt>
                <c:pt idx="3">
                  <c:v>1.154872119280026E-2</c:v>
                </c:pt>
                <c:pt idx="4">
                  <c:v>1.587973517749644E-2</c:v>
                </c:pt>
                <c:pt idx="5">
                  <c:v>2.4970289757234896E-2</c:v>
                </c:pt>
                <c:pt idx="6">
                  <c:v>3.9145194230571168E-2</c:v>
                </c:pt>
                <c:pt idx="7">
                  <c:v>0.17435424158969426</c:v>
                </c:pt>
                <c:pt idx="8">
                  <c:v>0.17441995518516615</c:v>
                </c:pt>
                <c:pt idx="9">
                  <c:v>0.18604524808870168</c:v>
                </c:pt>
                <c:pt idx="10">
                  <c:v>0.19132921059923919</c:v>
                </c:pt>
              </c:numCache>
            </c:numRef>
          </c:val>
          <c:smooth val="0"/>
          <c:extLst>
            <c:ext xmlns:c16="http://schemas.microsoft.com/office/drawing/2014/chart" uri="{C3380CC4-5D6E-409C-BE32-E72D297353CC}">
              <c16:uniqueId val="{00000000-D9E2-486A-B3F9-6A7D3703B17F}"/>
            </c:ext>
          </c:extLst>
        </c:ser>
        <c:ser>
          <c:idx val="1"/>
          <c:order val="1"/>
          <c:tx>
            <c:strRef>
              <c:f>backtesting!$K$15</c:f>
              <c:strCache>
                <c:ptCount val="1"/>
                <c:pt idx="0">
                  <c:v>Linear-M1</c:v>
                </c:pt>
              </c:strCache>
            </c:strRef>
          </c:tx>
          <c:spPr>
            <a:ln w="28575" cap="rnd">
              <a:solidFill>
                <a:schemeClr val="accent2"/>
              </a:solidFill>
              <a:round/>
            </a:ln>
            <a:effectLst/>
          </c:spPr>
          <c:marker>
            <c:symbol val="none"/>
          </c:marker>
          <c:cat>
            <c:numRef>
              <c:f>backtesting!$A$16:$A$26</c:f>
              <c:numCache>
                <c:formatCode>General</c:formatCode>
                <c:ptCount val="11"/>
                <c:pt idx="0">
                  <c:v>1995</c:v>
                </c:pt>
                <c:pt idx="1">
                  <c:v>1996</c:v>
                </c:pt>
                <c:pt idx="2">
                  <c:v>1997</c:v>
                </c:pt>
                <c:pt idx="3">
                  <c:v>1998</c:v>
                </c:pt>
                <c:pt idx="4">
                  <c:v>1999</c:v>
                </c:pt>
                <c:pt idx="5">
                  <c:v>2000</c:v>
                </c:pt>
                <c:pt idx="6">
                  <c:v>2001</c:v>
                </c:pt>
                <c:pt idx="7">
                  <c:v>2002</c:v>
                </c:pt>
                <c:pt idx="8">
                  <c:v>2003</c:v>
                </c:pt>
                <c:pt idx="9">
                  <c:v>2004</c:v>
                </c:pt>
                <c:pt idx="10">
                  <c:v>2005</c:v>
                </c:pt>
              </c:numCache>
            </c:numRef>
          </c:cat>
          <c:val>
            <c:numRef>
              <c:f>backtesting!$K$16:$K$26</c:f>
              <c:numCache>
                <c:formatCode>0.00%</c:formatCode>
                <c:ptCount val="11"/>
                <c:pt idx="1">
                  <c:v>5.4666957079445907E-4</c:v>
                </c:pt>
                <c:pt idx="2">
                  <c:v>5.8869332297851159E-3</c:v>
                </c:pt>
                <c:pt idx="3">
                  <c:v>2.1506737850145414E-2</c:v>
                </c:pt>
                <c:pt idx="4">
                  <c:v>2.4074439197490527E-2</c:v>
                </c:pt>
                <c:pt idx="5">
                  <c:v>2.8070858619337127E-2</c:v>
                </c:pt>
                <c:pt idx="6">
                  <c:v>3.0161501047823263E-2</c:v>
                </c:pt>
                <c:pt idx="7">
                  <c:v>9.2531562252276739E-2</c:v>
                </c:pt>
                <c:pt idx="8">
                  <c:v>0.10837401349086831</c:v>
                </c:pt>
                <c:pt idx="9">
                  <c:v>0.11567034476326449</c:v>
                </c:pt>
                <c:pt idx="10">
                  <c:v>0.11947674483144186</c:v>
                </c:pt>
              </c:numCache>
            </c:numRef>
          </c:val>
          <c:smooth val="0"/>
          <c:extLst>
            <c:ext xmlns:c16="http://schemas.microsoft.com/office/drawing/2014/chart" uri="{C3380CC4-5D6E-409C-BE32-E72D297353CC}">
              <c16:uniqueId val="{00000001-D9E2-486A-B3F9-6A7D3703B17F}"/>
            </c:ext>
          </c:extLst>
        </c:ser>
        <c:ser>
          <c:idx val="2"/>
          <c:order val="2"/>
          <c:tx>
            <c:strRef>
              <c:f>backtesting!$L$15</c:f>
              <c:strCache>
                <c:ptCount val="1"/>
                <c:pt idx="0">
                  <c:v>Linear-M2</c:v>
                </c:pt>
              </c:strCache>
            </c:strRef>
          </c:tx>
          <c:spPr>
            <a:ln w="28575" cap="rnd">
              <a:solidFill>
                <a:schemeClr val="accent3"/>
              </a:solidFill>
              <a:round/>
            </a:ln>
            <a:effectLst/>
          </c:spPr>
          <c:marker>
            <c:symbol val="none"/>
          </c:marker>
          <c:cat>
            <c:numRef>
              <c:f>backtesting!$A$16:$A$26</c:f>
              <c:numCache>
                <c:formatCode>General</c:formatCode>
                <c:ptCount val="11"/>
                <c:pt idx="0">
                  <c:v>1995</c:v>
                </c:pt>
                <c:pt idx="1">
                  <c:v>1996</c:v>
                </c:pt>
                <c:pt idx="2">
                  <c:v>1997</c:v>
                </c:pt>
                <c:pt idx="3">
                  <c:v>1998</c:v>
                </c:pt>
                <c:pt idx="4">
                  <c:v>1999</c:v>
                </c:pt>
                <c:pt idx="5">
                  <c:v>2000</c:v>
                </c:pt>
                <c:pt idx="6">
                  <c:v>2001</c:v>
                </c:pt>
                <c:pt idx="7">
                  <c:v>2002</c:v>
                </c:pt>
                <c:pt idx="8">
                  <c:v>2003</c:v>
                </c:pt>
                <c:pt idx="9">
                  <c:v>2004</c:v>
                </c:pt>
                <c:pt idx="10">
                  <c:v>2005</c:v>
                </c:pt>
              </c:numCache>
            </c:numRef>
          </c:cat>
          <c:val>
            <c:numRef>
              <c:f>backtesting!$L$16:$L$26</c:f>
              <c:numCache>
                <c:formatCode>0.00%</c:formatCode>
                <c:ptCount val="11"/>
                <c:pt idx="1">
                  <c:v>5.4288404379478523E-3</c:v>
                </c:pt>
                <c:pt idx="2">
                  <c:v>5.4748599570009909E-3</c:v>
                </c:pt>
                <c:pt idx="3">
                  <c:v>8.2415379357751936E-3</c:v>
                </c:pt>
                <c:pt idx="4">
                  <c:v>9.552182686071416E-3</c:v>
                </c:pt>
                <c:pt idx="5">
                  <c:v>1.4835145276401363E-2</c:v>
                </c:pt>
                <c:pt idx="6">
                  <c:v>2.190457043423439E-2</c:v>
                </c:pt>
                <c:pt idx="7">
                  <c:v>0.11590270637926323</c:v>
                </c:pt>
                <c:pt idx="8">
                  <c:v>0.12088514730703841</c:v>
                </c:pt>
                <c:pt idx="9">
                  <c:v>0.12088975754411607</c:v>
                </c:pt>
                <c:pt idx="10">
                  <c:v>0.12252006368287131</c:v>
                </c:pt>
              </c:numCache>
            </c:numRef>
          </c:val>
          <c:smooth val="0"/>
          <c:extLst>
            <c:ext xmlns:c16="http://schemas.microsoft.com/office/drawing/2014/chart" uri="{C3380CC4-5D6E-409C-BE32-E72D297353CC}">
              <c16:uniqueId val="{00000002-D9E2-486A-B3F9-6A7D3703B17F}"/>
            </c:ext>
          </c:extLst>
        </c:ser>
        <c:ser>
          <c:idx val="3"/>
          <c:order val="3"/>
          <c:tx>
            <c:strRef>
              <c:f>backtesting!$M$15</c:f>
              <c:strCache>
                <c:ptCount val="1"/>
                <c:pt idx="0">
                  <c:v>Poisson-M1</c:v>
                </c:pt>
              </c:strCache>
            </c:strRef>
          </c:tx>
          <c:spPr>
            <a:ln w="28575" cap="rnd">
              <a:solidFill>
                <a:schemeClr val="accent4"/>
              </a:solidFill>
              <a:round/>
            </a:ln>
            <a:effectLst/>
          </c:spPr>
          <c:marker>
            <c:symbol val="none"/>
          </c:marker>
          <c:cat>
            <c:numRef>
              <c:f>backtesting!$A$16:$A$26</c:f>
              <c:numCache>
                <c:formatCode>General</c:formatCode>
                <c:ptCount val="11"/>
                <c:pt idx="0">
                  <c:v>1995</c:v>
                </c:pt>
                <c:pt idx="1">
                  <c:v>1996</c:v>
                </c:pt>
                <c:pt idx="2">
                  <c:v>1997</c:v>
                </c:pt>
                <c:pt idx="3">
                  <c:v>1998</c:v>
                </c:pt>
                <c:pt idx="4">
                  <c:v>1999</c:v>
                </c:pt>
                <c:pt idx="5">
                  <c:v>2000</c:v>
                </c:pt>
                <c:pt idx="6">
                  <c:v>2001</c:v>
                </c:pt>
                <c:pt idx="7">
                  <c:v>2002</c:v>
                </c:pt>
                <c:pt idx="8">
                  <c:v>2003</c:v>
                </c:pt>
                <c:pt idx="9">
                  <c:v>2004</c:v>
                </c:pt>
                <c:pt idx="10">
                  <c:v>2005</c:v>
                </c:pt>
              </c:numCache>
            </c:numRef>
          </c:cat>
          <c:val>
            <c:numRef>
              <c:f>backtesting!$M$16:$M$26</c:f>
              <c:numCache>
                <c:formatCode>0.00%</c:formatCode>
                <c:ptCount val="11"/>
                <c:pt idx="1">
                  <c:v>7.5333485041291913E-5</c:v>
                </c:pt>
                <c:pt idx="2">
                  <c:v>5.8709674202809389E-3</c:v>
                </c:pt>
                <c:pt idx="3">
                  <c:v>2.3697894348873025E-2</c:v>
                </c:pt>
                <c:pt idx="4">
                  <c:v>2.3761213772931503E-2</c:v>
                </c:pt>
                <c:pt idx="5">
                  <c:v>2.5344370165690938E-2</c:v>
                </c:pt>
                <c:pt idx="6">
                  <c:v>2.5365969193693386E-2</c:v>
                </c:pt>
                <c:pt idx="7">
                  <c:v>3.6248998213609537E-2</c:v>
                </c:pt>
                <c:pt idx="8">
                  <c:v>3.6442227523597222E-2</c:v>
                </c:pt>
                <c:pt idx="9">
                  <c:v>4.3439160113518525E-2</c:v>
                </c:pt>
                <c:pt idx="10">
                  <c:v>4.4422644749979333E-2</c:v>
                </c:pt>
              </c:numCache>
            </c:numRef>
          </c:val>
          <c:smooth val="0"/>
          <c:extLst>
            <c:ext xmlns:c16="http://schemas.microsoft.com/office/drawing/2014/chart" uri="{C3380CC4-5D6E-409C-BE32-E72D297353CC}">
              <c16:uniqueId val="{00000003-D9E2-486A-B3F9-6A7D3703B17F}"/>
            </c:ext>
          </c:extLst>
        </c:ser>
        <c:ser>
          <c:idx val="4"/>
          <c:order val="4"/>
          <c:tx>
            <c:strRef>
              <c:f>backtesting!$N$15</c:f>
              <c:strCache>
                <c:ptCount val="1"/>
                <c:pt idx="0">
                  <c:v>Poisson-M2</c:v>
                </c:pt>
              </c:strCache>
            </c:strRef>
          </c:tx>
          <c:spPr>
            <a:ln w="28575" cap="rnd">
              <a:solidFill>
                <a:schemeClr val="accent5"/>
              </a:solidFill>
              <a:round/>
            </a:ln>
            <a:effectLst/>
          </c:spPr>
          <c:marker>
            <c:symbol val="none"/>
          </c:marker>
          <c:cat>
            <c:numRef>
              <c:f>backtesting!$A$16:$A$26</c:f>
              <c:numCache>
                <c:formatCode>General</c:formatCode>
                <c:ptCount val="11"/>
                <c:pt idx="0">
                  <c:v>1995</c:v>
                </c:pt>
                <c:pt idx="1">
                  <c:v>1996</c:v>
                </c:pt>
                <c:pt idx="2">
                  <c:v>1997</c:v>
                </c:pt>
                <c:pt idx="3">
                  <c:v>1998</c:v>
                </c:pt>
                <c:pt idx="4">
                  <c:v>1999</c:v>
                </c:pt>
                <c:pt idx="5">
                  <c:v>2000</c:v>
                </c:pt>
                <c:pt idx="6">
                  <c:v>2001</c:v>
                </c:pt>
                <c:pt idx="7">
                  <c:v>2002</c:v>
                </c:pt>
                <c:pt idx="8">
                  <c:v>2003</c:v>
                </c:pt>
                <c:pt idx="9">
                  <c:v>2004</c:v>
                </c:pt>
                <c:pt idx="10">
                  <c:v>2005</c:v>
                </c:pt>
              </c:numCache>
            </c:numRef>
          </c:cat>
          <c:val>
            <c:numRef>
              <c:f>backtesting!$N$16:$N$26</c:f>
              <c:numCache>
                <c:formatCode>0.00%</c:formatCode>
                <c:ptCount val="11"/>
                <c:pt idx="1">
                  <c:v>3.5420935784639357E-3</c:v>
                </c:pt>
                <c:pt idx="2">
                  <c:v>5.4001455429574848E-3</c:v>
                </c:pt>
                <c:pt idx="3">
                  <c:v>1.2381619669073609E-2</c:v>
                </c:pt>
                <c:pt idx="4">
                  <c:v>1.2930895629727128E-2</c:v>
                </c:pt>
                <c:pt idx="5">
                  <c:v>1.7509912172720112E-2</c:v>
                </c:pt>
                <c:pt idx="6">
                  <c:v>2.0941604785549857E-2</c:v>
                </c:pt>
                <c:pt idx="7">
                  <c:v>5.5570905375743641E-2</c:v>
                </c:pt>
                <c:pt idx="8">
                  <c:v>6.0608305417686067E-2</c:v>
                </c:pt>
                <c:pt idx="9">
                  <c:v>6.1475254154204441E-2</c:v>
                </c:pt>
                <c:pt idx="10">
                  <c:v>6.218004641934672E-2</c:v>
                </c:pt>
              </c:numCache>
            </c:numRef>
          </c:val>
          <c:smooth val="0"/>
          <c:extLst>
            <c:ext xmlns:c16="http://schemas.microsoft.com/office/drawing/2014/chart" uri="{C3380CC4-5D6E-409C-BE32-E72D297353CC}">
              <c16:uniqueId val="{00000004-D9E2-486A-B3F9-6A7D3703B17F}"/>
            </c:ext>
          </c:extLst>
        </c:ser>
        <c:dLbls>
          <c:showLegendKey val="0"/>
          <c:showVal val="0"/>
          <c:showCatName val="0"/>
          <c:showSerName val="0"/>
          <c:showPercent val="0"/>
          <c:showBubbleSize val="0"/>
        </c:dLbls>
        <c:smooth val="0"/>
        <c:axId val="615945608"/>
        <c:axId val="615946920"/>
      </c:lineChart>
      <c:catAx>
        <c:axId val="615945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946920"/>
        <c:crosses val="autoZero"/>
        <c:auto val="1"/>
        <c:lblAlgn val="ctr"/>
        <c:lblOffset val="100"/>
        <c:noMultiLvlLbl val="0"/>
      </c:catAx>
      <c:valAx>
        <c:axId val="615946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59456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'pred.transition matrices'!$A$52</c:f>
              <c:strCache>
                <c:ptCount val="1"/>
                <c:pt idx="0">
                  <c:v>density</c:v>
                </c:pt>
              </c:strCache>
            </c:strRef>
          </c:tx>
          <c:spPr>
            <a:ln w="19050" cap="rnd">
              <a:solidFill>
                <a:schemeClr val="accent1"/>
              </a:solidFill>
              <a:round/>
            </a:ln>
            <a:effectLst/>
          </c:spPr>
          <c:marker>
            <c:symbol val="none"/>
          </c:marker>
          <c:xVal>
            <c:numRef>
              <c:f>'pred.transition matrices'!$B$51:$I$51</c:f>
              <c:numCache>
                <c:formatCode>General</c:formatCode>
                <c:ptCount val="8"/>
                <c:pt idx="0">
                  <c:v>-3.5</c:v>
                </c:pt>
                <c:pt idx="1">
                  <c:v>-2.5</c:v>
                </c:pt>
                <c:pt idx="2">
                  <c:v>-1.5</c:v>
                </c:pt>
                <c:pt idx="3">
                  <c:v>-0.5</c:v>
                </c:pt>
                <c:pt idx="4">
                  <c:v>0.5</c:v>
                </c:pt>
                <c:pt idx="5">
                  <c:v>1.5</c:v>
                </c:pt>
                <c:pt idx="6">
                  <c:v>2.5</c:v>
                </c:pt>
                <c:pt idx="7">
                  <c:v>3.5</c:v>
                </c:pt>
              </c:numCache>
            </c:numRef>
          </c:xVal>
          <c:yVal>
            <c:numRef>
              <c:f>'pred.transition matrices'!$B$52:$I$52</c:f>
              <c:numCache>
                <c:formatCode>0.00</c:formatCode>
                <c:ptCount val="8"/>
                <c:pt idx="0">
                  <c:v>8.7268269504576015E-4</c:v>
                </c:pt>
                <c:pt idx="1">
                  <c:v>1.752830049356854E-2</c:v>
                </c:pt>
                <c:pt idx="2">
                  <c:v>0.12951759566589174</c:v>
                </c:pt>
                <c:pt idx="3">
                  <c:v>0.35206532676429952</c:v>
                </c:pt>
                <c:pt idx="4">
                  <c:v>0.35206532676429952</c:v>
                </c:pt>
                <c:pt idx="5">
                  <c:v>0.12951759566589174</c:v>
                </c:pt>
                <c:pt idx="6">
                  <c:v>1.752830049356854E-2</c:v>
                </c:pt>
                <c:pt idx="7">
                  <c:v>8.7268269504576015E-4</c:v>
                </c:pt>
              </c:numCache>
            </c:numRef>
          </c:yVal>
          <c:smooth val="1"/>
          <c:extLst>
            <c:ext xmlns:c16="http://schemas.microsoft.com/office/drawing/2014/chart" uri="{C3380CC4-5D6E-409C-BE32-E72D297353CC}">
              <c16:uniqueId val="{00000000-69A2-4A90-8726-4240C005198C}"/>
            </c:ext>
          </c:extLst>
        </c:ser>
        <c:dLbls>
          <c:showLegendKey val="0"/>
          <c:showVal val="0"/>
          <c:showCatName val="0"/>
          <c:showSerName val="0"/>
          <c:showPercent val="0"/>
          <c:showBubbleSize val="0"/>
        </c:dLbls>
        <c:axId val="620890264"/>
        <c:axId val="620889280"/>
      </c:scatterChart>
      <c:valAx>
        <c:axId val="6208902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89280"/>
        <c:crosses val="autoZero"/>
        <c:crossBetween val="midCat"/>
      </c:valAx>
      <c:valAx>
        <c:axId val="620889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089026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'pred.transition matrices'!$A$60</c:f>
              <c:strCache>
                <c:ptCount val="1"/>
                <c:pt idx="0">
                  <c:v>density</c:v>
                </c:pt>
              </c:strCache>
            </c:strRef>
          </c:tx>
          <c:spPr>
            <a:ln w="19050" cap="rnd">
              <a:solidFill>
                <a:schemeClr val="accent1"/>
              </a:solidFill>
              <a:round/>
            </a:ln>
            <a:effectLst/>
          </c:spPr>
          <c:marker>
            <c:symbol val="none"/>
          </c:marker>
          <c:xVal>
            <c:numRef>
              <c:f>'pred.transition matrices'!$B$59:$I$59</c:f>
              <c:numCache>
                <c:formatCode>General</c:formatCode>
                <c:ptCount val="8"/>
                <c:pt idx="0">
                  <c:v>-4</c:v>
                </c:pt>
                <c:pt idx="1">
                  <c:v>-3</c:v>
                </c:pt>
                <c:pt idx="2">
                  <c:v>-2</c:v>
                </c:pt>
                <c:pt idx="3">
                  <c:v>-1</c:v>
                </c:pt>
                <c:pt idx="4">
                  <c:v>0</c:v>
                </c:pt>
                <c:pt idx="5">
                  <c:v>1</c:v>
                </c:pt>
                <c:pt idx="6">
                  <c:v>2</c:v>
                </c:pt>
                <c:pt idx="7">
                  <c:v>3</c:v>
                </c:pt>
              </c:numCache>
            </c:numRef>
          </c:xVal>
          <c:yVal>
            <c:numRef>
              <c:f>'pred.transition matrices'!$B$60:$I$60</c:f>
              <c:numCache>
                <c:formatCode>0.00</c:formatCode>
                <c:ptCount val="8"/>
                <c:pt idx="0">
                  <c:v>8.7268269504576015E-4</c:v>
                </c:pt>
                <c:pt idx="1">
                  <c:v>1.752830049356854E-2</c:v>
                </c:pt>
                <c:pt idx="2">
                  <c:v>0.12951759566589174</c:v>
                </c:pt>
                <c:pt idx="3">
                  <c:v>0.35206532676429952</c:v>
                </c:pt>
                <c:pt idx="4">
                  <c:v>0.35206532676429952</c:v>
                </c:pt>
                <c:pt idx="5">
                  <c:v>0.12951759566589174</c:v>
                </c:pt>
                <c:pt idx="6">
                  <c:v>1.752830049356854E-2</c:v>
                </c:pt>
                <c:pt idx="7">
                  <c:v>8.7268269504576015E-4</c:v>
                </c:pt>
              </c:numCache>
            </c:numRef>
          </c:yVal>
          <c:smooth val="1"/>
          <c:extLst>
            <c:ext xmlns:c16="http://schemas.microsoft.com/office/drawing/2014/chart" uri="{C3380CC4-5D6E-409C-BE32-E72D297353CC}">
              <c16:uniqueId val="{00000000-EDD8-4AE6-948B-7CCED8C9EB4D}"/>
            </c:ext>
          </c:extLst>
        </c:ser>
        <c:ser>
          <c:idx val="1"/>
          <c:order val="1"/>
          <c:spPr>
            <a:ln w="19050" cap="rnd">
              <a:solidFill>
                <a:schemeClr val="accent2"/>
              </a:solidFill>
              <a:round/>
            </a:ln>
            <a:effectLst/>
          </c:spPr>
          <c:marker>
            <c:symbol val="none"/>
          </c:marker>
          <c:xVal>
            <c:numRef>
              <c:f>'pred.transition matrices'!$B$51:$I$51</c:f>
              <c:numCache>
                <c:formatCode>General</c:formatCode>
                <c:ptCount val="8"/>
                <c:pt idx="0">
                  <c:v>-3.5</c:v>
                </c:pt>
                <c:pt idx="1">
                  <c:v>-2.5</c:v>
                </c:pt>
                <c:pt idx="2">
                  <c:v>-1.5</c:v>
                </c:pt>
                <c:pt idx="3">
                  <c:v>-0.5</c:v>
                </c:pt>
                <c:pt idx="4">
                  <c:v>0.5</c:v>
                </c:pt>
                <c:pt idx="5">
                  <c:v>1.5</c:v>
                </c:pt>
                <c:pt idx="6">
                  <c:v>2.5</c:v>
                </c:pt>
                <c:pt idx="7">
                  <c:v>3.5</c:v>
                </c:pt>
              </c:numCache>
            </c:numRef>
          </c:xVal>
          <c:yVal>
            <c:numRef>
              <c:f>'pred.transition matrices'!$B$52:$I$52</c:f>
              <c:numCache>
                <c:formatCode>0.00</c:formatCode>
                <c:ptCount val="8"/>
                <c:pt idx="0">
                  <c:v>8.7268269504576015E-4</c:v>
                </c:pt>
                <c:pt idx="1">
                  <c:v>1.752830049356854E-2</c:v>
                </c:pt>
                <c:pt idx="2">
                  <c:v>0.12951759566589174</c:v>
                </c:pt>
                <c:pt idx="3">
                  <c:v>0.35206532676429952</c:v>
                </c:pt>
                <c:pt idx="4">
                  <c:v>0.35206532676429952</c:v>
                </c:pt>
                <c:pt idx="5">
                  <c:v>0.12951759566589174</c:v>
                </c:pt>
                <c:pt idx="6">
                  <c:v>1.752830049356854E-2</c:v>
                </c:pt>
                <c:pt idx="7">
                  <c:v>8.7268269504576015E-4</c:v>
                </c:pt>
              </c:numCache>
            </c:numRef>
          </c:yVal>
          <c:smooth val="1"/>
          <c:extLst>
            <c:ext xmlns:c16="http://schemas.microsoft.com/office/drawing/2014/chart" uri="{C3380CC4-5D6E-409C-BE32-E72D297353CC}">
              <c16:uniqueId val="{00000001-EDD8-4AE6-948B-7CCED8C9EB4D}"/>
            </c:ext>
          </c:extLst>
        </c:ser>
        <c:dLbls>
          <c:showLegendKey val="0"/>
          <c:showVal val="0"/>
          <c:showCatName val="0"/>
          <c:showSerName val="0"/>
          <c:showPercent val="0"/>
          <c:showBubbleSize val="0"/>
        </c:dLbls>
        <c:axId val="617678648"/>
        <c:axId val="617681272"/>
      </c:scatterChart>
      <c:valAx>
        <c:axId val="6176786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7681272"/>
        <c:crosses val="autoZero"/>
        <c:crossBetween val="midCat"/>
      </c:valAx>
      <c:valAx>
        <c:axId val="617681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767864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17</xdr:col>
      <xdr:colOff>561974</xdr:colOff>
      <xdr:row>2</xdr:row>
      <xdr:rowOff>19050</xdr:rowOff>
    </xdr:from>
    <xdr:to>
      <xdr:col>33</xdr:col>
      <xdr:colOff>228599</xdr:colOff>
      <xdr:row>35</xdr:row>
      <xdr:rowOff>57150</xdr:rowOff>
    </xdr:to>
    <xdr:sp macro="" textlink="">
      <xdr:nvSpPr>
        <xdr:cNvPr id="2" name="TextBox 1">
          <a:extLst>
            <a:ext uri="{FF2B5EF4-FFF2-40B4-BE49-F238E27FC236}">
              <a16:creationId xmlns:a16="http://schemas.microsoft.com/office/drawing/2014/main" id="{2A3BAA37-56C2-48B2-B10D-ECBCE3E4164A}"/>
            </a:ext>
          </a:extLst>
        </xdr:cNvPr>
        <xdr:cNvSpPr txBox="1"/>
      </xdr:nvSpPr>
      <xdr:spPr>
        <a:xfrm>
          <a:off x="10925174" y="400050"/>
          <a:ext cx="9420225" cy="6324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default ans transition ates are essential to pricing or risk management. Based on</a:t>
          </a:r>
          <a:r>
            <a:rPr lang="en-GB" sz="1100" baseline="0"/>
            <a:t> a forecast for next year's default rate , for example, one can set appropriate loan rates for short-term loans. due to some candidate variables we may have a good reason to believe that the following year should be either relatively good or bad year for credits. if the economy is moving into a recession one should expect default rates to be relatively high. </a:t>
          </a:r>
        </a:p>
        <a:p>
          <a:endParaRPr lang="en-GB" sz="1100" baseline="0"/>
        </a:p>
        <a:p>
          <a:r>
            <a:rPr lang="en-GB" sz="1100" baseline="0"/>
            <a:t>candidate variables for prediction:</a:t>
          </a:r>
        </a:p>
        <a:p>
          <a:r>
            <a:rPr lang="en-GB" sz="1100" baseline="0"/>
            <a:t> consider 4 predictive factors</a:t>
          </a:r>
        </a:p>
        <a:p>
          <a:endParaRPr lang="en-GB" sz="1100" baseline="0"/>
        </a:p>
        <a:p>
          <a:r>
            <a:rPr lang="en-GB" sz="1100" baseline="0"/>
            <a:t> * macroeconomic conditions</a:t>
          </a:r>
        </a:p>
        <a:p>
          <a:endParaRPr lang="en-GB" sz="1100" baseline="0"/>
        </a:p>
        <a:p>
          <a:r>
            <a:rPr lang="en-GB" sz="1100" baseline="0"/>
            <a:t>PRF = (1+ forecasted change in corporate profits (from t to t+1) / (1+ forecasted change in GDP deflator (t to t+1)) - 1</a:t>
          </a:r>
        </a:p>
        <a:p>
          <a:endParaRPr lang="en-GB" sz="1100" baseline="0"/>
        </a:p>
        <a:p>
          <a:r>
            <a:rPr lang="en-GB" sz="1100" baseline="0"/>
            <a:t>* corporate bond spreads</a:t>
          </a:r>
        </a:p>
        <a:p>
          <a:endParaRPr lang="en-GB" sz="1100" baseline="0"/>
        </a:p>
        <a:p>
          <a:r>
            <a:rPr lang="en-GB" sz="1100" baseline="0"/>
            <a:t>yield of corporate bonds should be set such that the expected return from holding a bond is at least as large as the return from holding a risk-free government bond. </a:t>
          </a:r>
        </a:p>
        <a:p>
          <a:endParaRPr lang="en-GB" sz="1100" baseline="0"/>
        </a:p>
        <a:p>
          <a:r>
            <a:rPr lang="en-GB" sz="1100" baseline="0"/>
            <a:t>SPR = yield of corporate bonds (in t) - yield of US treasuries (in t)</a:t>
          </a:r>
        </a:p>
        <a:p>
          <a:endParaRPr lang="en-GB" sz="1100" baseline="0"/>
        </a:p>
        <a:p>
          <a:r>
            <a:rPr lang="en-GB" sz="1100" baseline="0"/>
            <a:t>the corporate bonds used for computing the variable SPR should have a rik similar to the risk of the issuers whose transition rates are to be predicted. </a:t>
          </a:r>
        </a:p>
        <a:p>
          <a:endParaRPr lang="en-GB" sz="1100" baseline="0"/>
        </a:p>
        <a:p>
          <a:r>
            <a:rPr lang="en-GB" sz="1100" baseline="0"/>
            <a:t>*Aging effect: it has been documented in the litreature that issuers who first entered the bond market 3 to 4 yrs ago are relatively likely to default . this emprical phenomenon is called the aging effect. </a:t>
          </a:r>
        </a:p>
        <a:p>
          <a:endParaRPr lang="en-GB" sz="1100" baseline="0"/>
        </a:p>
        <a:p>
          <a:r>
            <a:rPr lang="en-GB" sz="1100" baseline="0"/>
            <a:t>AGE = # newly rated issuers (rom t-4 to t-3) / # rated issuers (in t)</a:t>
          </a:r>
        </a:p>
        <a:p>
          <a:endParaRPr lang="en-GB" sz="1100" baseline="0"/>
        </a:p>
        <a:p>
          <a:r>
            <a:rPr lang="en-GB" sz="1100" baseline="0"/>
            <a:t>* Average risk: composition of the group can change over time</a:t>
          </a:r>
        </a:p>
        <a:p>
          <a:endParaRPr lang="en-GB" sz="1100" baseline="0"/>
        </a:p>
        <a:p>
          <a:r>
            <a:rPr lang="en-GB" sz="1100" baseline="0"/>
            <a:t>BBB = #BBB rated issuers (in t) / # investment grade issuers (in t)</a:t>
          </a:r>
        </a:p>
        <a:p>
          <a:endParaRPr lang="en-GB" sz="1100" baseline="0"/>
        </a:p>
        <a:p>
          <a:r>
            <a:rPr lang="en-GB" sz="1100" baseline="0"/>
            <a:t>Predicting Investment Grade Default Rates with Linear Regression</a:t>
          </a:r>
        </a:p>
        <a:p>
          <a:endParaRPr lang="en-GB" sz="1100" baseline="0"/>
        </a:p>
        <a:p>
          <a:r>
            <a:rPr lang="en-GB" sz="1100" baseline="0"/>
            <a:t>IDR = b1 + b2PRF(t) + b3AGE(t) + b4BBB(t) + b5SPR(t)</a:t>
          </a:r>
        </a:p>
        <a:p>
          <a:r>
            <a:rPr lang="en-GB" sz="1100" baseline="0"/>
            <a:t>t = 2005</a:t>
          </a:r>
        </a:p>
        <a:p>
          <a:endParaRPr lang="en-GB" sz="1100" baseline="0"/>
        </a:p>
        <a:p>
          <a:r>
            <a:rPr lang="en-GB" sz="1100" baseline="0"/>
            <a:t>we want to predict the investment grade default rate for the year 2006</a:t>
          </a:r>
        </a:p>
        <a:p>
          <a:endParaRPr lang="en-GB" sz="1100" baseline="0"/>
        </a:p>
        <a:p>
          <a:endParaRPr lang="en-GB" sz="1100" baseline="0"/>
        </a:p>
        <a:p>
          <a:endParaRPr lang="en-GB" sz="1100" baseline="0"/>
        </a:p>
        <a:p>
          <a:endParaRPr lang="en-GB" sz="1100" baseline="0"/>
        </a:p>
        <a:p>
          <a:endParaRPr lang="en-GB" sz="1100"/>
        </a:p>
      </xdr:txBody>
    </xdr:sp>
    <xdr:clientData/>
  </xdr:twoCellAnchor>
  <xdr:twoCellAnchor>
    <xdr:from>
      <xdr:col>6</xdr:col>
      <xdr:colOff>209550</xdr:colOff>
      <xdr:row>0</xdr:row>
      <xdr:rowOff>28575</xdr:rowOff>
    </xdr:from>
    <xdr:to>
      <xdr:col>12</xdr:col>
      <xdr:colOff>400050</xdr:colOff>
      <xdr:row>1</xdr:row>
      <xdr:rowOff>152400</xdr:rowOff>
    </xdr:to>
    <xdr:sp macro="" textlink="">
      <xdr:nvSpPr>
        <xdr:cNvPr id="3" name="TextBox 2">
          <a:extLst>
            <a:ext uri="{FF2B5EF4-FFF2-40B4-BE49-F238E27FC236}">
              <a16:creationId xmlns:a16="http://schemas.microsoft.com/office/drawing/2014/main" id="{31BA0C38-9C3D-4176-BD04-F898DF35BF77}"/>
            </a:ext>
          </a:extLst>
        </xdr:cNvPr>
        <xdr:cNvSpPr txBox="1"/>
      </xdr:nvSpPr>
      <xdr:spPr>
        <a:xfrm>
          <a:off x="3867150" y="28575"/>
          <a:ext cx="3848100" cy="314325"/>
        </a:xfrm>
        <a:prstGeom prst="rect">
          <a:avLst/>
        </a:prstGeom>
        <a:solidFill>
          <a:schemeClr val="accent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predicting investment grade default rates with linear regression</a:t>
          </a:r>
        </a:p>
      </xdr:txBody>
    </xdr:sp>
    <xdr:clientData/>
  </xdr:twoCellAnchor>
  <xdr:twoCellAnchor>
    <xdr:from>
      <xdr:col>13</xdr:col>
      <xdr:colOff>200025</xdr:colOff>
      <xdr:row>3</xdr:row>
      <xdr:rowOff>104775</xdr:rowOff>
    </xdr:from>
    <xdr:to>
      <xdr:col>17</xdr:col>
      <xdr:colOff>457200</xdr:colOff>
      <xdr:row>26</xdr:row>
      <xdr:rowOff>114300</xdr:rowOff>
    </xdr:to>
    <xdr:sp macro="" textlink="">
      <xdr:nvSpPr>
        <xdr:cNvPr id="4" name="TextBox 3">
          <a:extLst>
            <a:ext uri="{FF2B5EF4-FFF2-40B4-BE49-F238E27FC236}">
              <a16:creationId xmlns:a16="http://schemas.microsoft.com/office/drawing/2014/main" id="{F7C86E01-B4F5-4966-9996-40EB7BF0D8AF}"/>
            </a:ext>
          </a:extLst>
        </xdr:cNvPr>
        <xdr:cNvSpPr txBox="1"/>
      </xdr:nvSpPr>
      <xdr:spPr>
        <a:xfrm>
          <a:off x="8124825" y="676275"/>
          <a:ext cx="2695575" cy="4391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to perform linear regresion in excel we use the command LINEST (y's, x's, const, stats), where y is denoted the independent variable , IDR in our case, and x's the explenatory variables (PRF, AGE, BBB, SPR). Const is a logical value that leads to inclusion of a constant if set to 1. if</a:t>
          </a:r>
          <a:r>
            <a:rPr lang="en-GB" sz="1100" baseline="0"/>
            <a:t> the logical value stats is set to 1, the function LINEST returns several regression statistics , rather than just the extimated cooefficiens.</a:t>
          </a:r>
        </a:p>
        <a:p>
          <a:endParaRPr lang="en-GB" sz="1100" baseline="0"/>
        </a:p>
        <a:p>
          <a:r>
            <a:rPr lang="en-GB" sz="1100" baseline="0"/>
            <a:t>LINEST returns an array and must be entered as an array function. </a:t>
          </a:r>
        </a:p>
        <a:p>
          <a:endParaRPr lang="en-GB" sz="1100" baseline="0"/>
        </a:p>
        <a:p>
          <a:r>
            <a:rPr lang="en-GB" sz="1100" baseline="0"/>
            <a:t>******************************</a:t>
          </a:r>
        </a:p>
        <a:p>
          <a:r>
            <a:rPr lang="en-GB" sz="1100" b="1" baseline="0"/>
            <a:t>Model 1 coefficients,</a:t>
          </a:r>
        </a:p>
        <a:p>
          <a:r>
            <a:rPr lang="en-GB" sz="1100" baseline="0"/>
            <a:t>the signs of coefficients b meet our expectations. High spreads, a large fraction of risky BBB issuers and large fraction of recently rated issuers should be associated with higher default rates. and therefore with positive bs. higher profit expectations , on the other hand, should be coupled with lower default rates.</a:t>
          </a:r>
          <a:endParaRPr lang="en-GB" sz="1100"/>
        </a:p>
      </xdr:txBody>
    </xdr:sp>
    <xdr:clientData/>
  </xdr:twoCellAnchor>
  <xdr:twoCellAnchor>
    <xdr:from>
      <xdr:col>6</xdr:col>
      <xdr:colOff>152400</xdr:colOff>
      <xdr:row>30</xdr:row>
      <xdr:rowOff>161925</xdr:rowOff>
    </xdr:from>
    <xdr:to>
      <xdr:col>16</xdr:col>
      <xdr:colOff>371475</xdr:colOff>
      <xdr:row>41</xdr:row>
      <xdr:rowOff>76200</xdr:rowOff>
    </xdr:to>
    <xdr:sp macro="" textlink="">
      <xdr:nvSpPr>
        <xdr:cNvPr id="5" name="TextBox 4">
          <a:extLst>
            <a:ext uri="{FF2B5EF4-FFF2-40B4-BE49-F238E27FC236}">
              <a16:creationId xmlns:a16="http://schemas.microsoft.com/office/drawing/2014/main" id="{AA4C14FE-FBF5-4C13-81E2-9BB9AADDDBED}"/>
            </a:ext>
          </a:extLst>
        </xdr:cNvPr>
        <xdr:cNvSpPr txBox="1"/>
      </xdr:nvSpPr>
      <xdr:spPr>
        <a:xfrm>
          <a:off x="3810000" y="5876925"/>
          <a:ext cx="6315075" cy="2009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Predictions differ across two models. Model 1 predicts a default rate of 0.1% , model 2 one of 0.06%. looking at the x-values for the year 2005, the origin of difference is obvious. The profit forecast PRF is close to the average</a:t>
          </a:r>
          <a:r>
            <a:rPr lang="en-GB" sz="1100" baseline="0"/>
            <a:t> for the last 25 years, whike the aging effect AGE is somewhat less present than in the past. Therefore, the default rate prediction based on model 2 should be below the average default rate, which is 0.1%. the fraction of BBB-rated issuers, having increased over the 1990s, is at a historically high level. once we include the variable BBB as we do in model 1, the default rate increases.</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485775</xdr:colOff>
      <xdr:row>1</xdr:row>
      <xdr:rowOff>114300</xdr:rowOff>
    </xdr:from>
    <xdr:to>
      <xdr:col>13</xdr:col>
      <xdr:colOff>228600</xdr:colOff>
      <xdr:row>3</xdr:row>
      <xdr:rowOff>28575</xdr:rowOff>
    </xdr:to>
    <xdr:sp macro="" textlink="">
      <xdr:nvSpPr>
        <xdr:cNvPr id="2" name="TextBox 1">
          <a:extLst>
            <a:ext uri="{FF2B5EF4-FFF2-40B4-BE49-F238E27FC236}">
              <a16:creationId xmlns:a16="http://schemas.microsoft.com/office/drawing/2014/main" id="{8D66D09D-3814-40AC-817B-B8A42F54A18D}"/>
            </a:ext>
          </a:extLst>
        </xdr:cNvPr>
        <xdr:cNvSpPr txBox="1"/>
      </xdr:nvSpPr>
      <xdr:spPr>
        <a:xfrm>
          <a:off x="4143375" y="304800"/>
          <a:ext cx="4010025" cy="295275"/>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predicting investment grade default rates with poisson regression</a:t>
          </a:r>
        </a:p>
      </xdr:txBody>
    </xdr:sp>
    <xdr:clientData/>
  </xdr:twoCellAnchor>
  <xdr:twoCellAnchor>
    <xdr:from>
      <xdr:col>10</xdr:col>
      <xdr:colOff>533400</xdr:colOff>
      <xdr:row>8</xdr:row>
      <xdr:rowOff>47625</xdr:rowOff>
    </xdr:from>
    <xdr:to>
      <xdr:col>23</xdr:col>
      <xdr:colOff>381000</xdr:colOff>
      <xdr:row>26</xdr:row>
      <xdr:rowOff>57150</xdr:rowOff>
    </xdr:to>
    <xdr:sp macro="" textlink="">
      <xdr:nvSpPr>
        <xdr:cNvPr id="3" name="TextBox 2">
          <a:extLst>
            <a:ext uri="{FF2B5EF4-FFF2-40B4-BE49-F238E27FC236}">
              <a16:creationId xmlns:a16="http://schemas.microsoft.com/office/drawing/2014/main" id="{9F7C472F-DEC4-4485-8F27-59831455ABDA}"/>
            </a:ext>
          </a:extLst>
        </xdr:cNvPr>
        <xdr:cNvSpPr txBox="1"/>
      </xdr:nvSpPr>
      <xdr:spPr>
        <a:xfrm>
          <a:off x="6629400" y="1571625"/>
          <a:ext cx="77724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drawback in linear regression is</a:t>
          </a:r>
          <a:r>
            <a:rPr lang="en-GB" sz="1100" baseline="0"/>
            <a:t> default rate predictions could be negative. in addition, linear regression does not take into account that the realized default rate will vary less around the expected default probability if the number of issuers is large. to overcome these drawbacks , we can describe the data as being drawn from a probability distribution that has desired properties : default rates should have a minimum of zero , and their variability should decrease with an increasing number of issuers. to determine the parameters of the distribution , we choose them in such a way that we maximize the probability of observing the data that we have actually observed  - that is we apply the maximum likelihood principle. </a:t>
          </a:r>
        </a:p>
        <a:p>
          <a:endParaRPr lang="en-GB" sz="1100" baseline="0"/>
        </a:p>
        <a:p>
          <a:r>
            <a:rPr lang="en-GB" sz="1100" b="1" baseline="0"/>
            <a:t>what is an appropriate probability distribution for defaults?</a:t>
          </a:r>
        </a:p>
        <a:p>
          <a:r>
            <a:rPr lang="en-GB" sz="1100" baseline="0"/>
            <a:t>default rates vary from year to year, but for a given year it might be a good approximation to assume that defaults are independent. however, this does not rule out, a cluster of defaults during a recession. if the default probability of investment-grade issuers has increased from 0.1% to 0.4% during a recession, we would expect to see four times as many defaults as usual. Nevertheless, defaults could be independent in the sense that if one particular issuer defaults in a recession year, this does not further increase the default probability of another issuer. </a:t>
          </a:r>
        </a:p>
        <a:p>
          <a:endParaRPr lang="en-GB" sz="1100" baseline="0"/>
        </a:p>
        <a:p>
          <a:r>
            <a:rPr lang="en-GB" sz="1100" baseline="0"/>
            <a:t>with the independence assumption, the number of defaults observed in a given year follows a binomial distribution. one could base a maximum likelihood estimation on this distribution but it is more convenient to use Poisson distribution instead. If the number of issuers is large, and the default probability is small, the Poisson provides a very good approximation to the binomial. </a:t>
          </a:r>
          <a:endParaRPr lang="en-GB" sz="1100"/>
        </a:p>
      </xdr:txBody>
    </xdr:sp>
    <xdr:clientData/>
  </xdr:twoCellAnchor>
  <xdr:twoCellAnchor>
    <xdr:from>
      <xdr:col>5</xdr:col>
      <xdr:colOff>485774</xdr:colOff>
      <xdr:row>4</xdr:row>
      <xdr:rowOff>57150</xdr:rowOff>
    </xdr:from>
    <xdr:to>
      <xdr:col>12</xdr:col>
      <xdr:colOff>371475</xdr:colOff>
      <xdr:row>21</xdr:row>
      <xdr:rowOff>38099</xdr:rowOff>
    </xdr:to>
    <xdr:graphicFrame macro="">
      <xdr:nvGraphicFramePr>
        <xdr:cNvPr id="5" name="Chart 4">
          <a:extLst>
            <a:ext uri="{FF2B5EF4-FFF2-40B4-BE49-F238E27FC236}">
              <a16:creationId xmlns:a16="http://schemas.microsoft.com/office/drawing/2014/main" id="{97A227DE-50F8-4124-867D-1ADD1F1C16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24</xdr:row>
      <xdr:rowOff>0</xdr:rowOff>
    </xdr:from>
    <xdr:to>
      <xdr:col>13</xdr:col>
      <xdr:colOff>495301</xdr:colOff>
      <xdr:row>40</xdr:row>
      <xdr:rowOff>171449</xdr:rowOff>
    </xdr:to>
    <xdr:graphicFrame macro="">
      <xdr:nvGraphicFramePr>
        <xdr:cNvPr id="7" name="Chart 6">
          <a:extLst>
            <a:ext uri="{FF2B5EF4-FFF2-40B4-BE49-F238E27FC236}">
              <a16:creationId xmlns:a16="http://schemas.microsoft.com/office/drawing/2014/main" id="{14C9FE6B-E147-4CC3-92F5-510559CC8F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19050</xdr:colOff>
      <xdr:row>26</xdr:row>
      <xdr:rowOff>133350</xdr:rowOff>
    </xdr:from>
    <xdr:to>
      <xdr:col>21</xdr:col>
      <xdr:colOff>561975</xdr:colOff>
      <xdr:row>44</xdr:row>
      <xdr:rowOff>0</xdr:rowOff>
    </xdr:to>
    <xdr:sp macro="" textlink="">
      <xdr:nvSpPr>
        <xdr:cNvPr id="2" name="TextBox 1">
          <a:extLst>
            <a:ext uri="{FF2B5EF4-FFF2-40B4-BE49-F238E27FC236}">
              <a16:creationId xmlns:a16="http://schemas.microsoft.com/office/drawing/2014/main" id="{1E8EFC22-24D0-4B14-A0FF-9F526F00EC61}"/>
            </a:ext>
          </a:extLst>
        </xdr:cNvPr>
        <xdr:cNvSpPr txBox="1"/>
      </xdr:nvSpPr>
      <xdr:spPr>
        <a:xfrm>
          <a:off x="8810625" y="5086350"/>
          <a:ext cx="4200525" cy="3295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compared to linear regression,</a:t>
          </a:r>
          <a:r>
            <a:rPr lang="en-GB" sz="1100" baseline="0"/>
            <a:t> the preditions made by model 1 and model 2 are relatively close. what may seem suprising is that poisson model 2 predicts a higher default rate than does poisson model 1. in the linear regression this was reversed.</a:t>
          </a:r>
        </a:p>
        <a:p>
          <a:endParaRPr lang="en-GB" sz="1100" baseline="0"/>
        </a:p>
        <a:p>
          <a:r>
            <a:rPr lang="en-GB" sz="1100" baseline="0"/>
            <a:t>the difference in linear regression results was due to excluding BBB, the fraction of BBB rated issuers. In poisson model 2 , we also exclude BBB, but now we include LNN, the log number of issuers. Since, LNN is highly correlated with BBB, LNN contains much of the information contained in BBB and dropping BBB does not have a great effect on the forecast.</a:t>
          </a:r>
        </a:p>
        <a:p>
          <a:endParaRPr lang="en-GB" sz="1100" baseline="0"/>
        </a:p>
        <a:p>
          <a:r>
            <a:rPr lang="en-GB" sz="1100" baseline="0"/>
            <a:t>Linear or Poisson????</a:t>
          </a:r>
        </a:p>
        <a:p>
          <a:r>
            <a:rPr lang="en-GB" sz="1100" baseline="0"/>
            <a:t>on cenceptual grounds, the poisson model is superior. however, this does not necessarily mean that it leads to better forecasts. to learn abut the performance of the two model, one should conduct a backtest.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266700</xdr:colOff>
      <xdr:row>2</xdr:row>
      <xdr:rowOff>142875</xdr:rowOff>
    </xdr:from>
    <xdr:to>
      <xdr:col>28</xdr:col>
      <xdr:colOff>57150</xdr:colOff>
      <xdr:row>31</xdr:row>
      <xdr:rowOff>152400</xdr:rowOff>
    </xdr:to>
    <xdr:sp macro="" textlink="">
      <xdr:nvSpPr>
        <xdr:cNvPr id="2" name="TextBox 1">
          <a:extLst>
            <a:ext uri="{FF2B5EF4-FFF2-40B4-BE49-F238E27FC236}">
              <a16:creationId xmlns:a16="http://schemas.microsoft.com/office/drawing/2014/main" id="{8C2337AF-22DD-471F-91C7-0E564C9157C2}"/>
            </a:ext>
          </a:extLst>
        </xdr:cNvPr>
        <xdr:cNvSpPr txBox="1"/>
      </xdr:nvSpPr>
      <xdr:spPr>
        <a:xfrm>
          <a:off x="9972675" y="523875"/>
          <a:ext cx="7715250" cy="5534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FF0000"/>
              </a:solidFill>
            </a:rPr>
            <a:t>Backtesting the prediction models</a:t>
          </a:r>
        </a:p>
        <a:p>
          <a:r>
            <a:rPr lang="en-GB" sz="1100"/>
            <a:t>we assume that we have used the model over the last years and try to quantify the prediction errors to validate</a:t>
          </a:r>
          <a:r>
            <a:rPr lang="en-GB" sz="1100" baseline="0"/>
            <a:t> the model. </a:t>
          </a:r>
        </a:p>
        <a:p>
          <a:r>
            <a:rPr lang="en-GB" sz="1100" baseline="0"/>
            <a:t>in performing such a test , we should make sure that when seeting up a forecast for some year t in the past, we use only information that was available at the end of year t-1. This means, the sample that we have used for setting up the forecasting model should be kept saperate from the sample used in validation. This phenomena also called "out - of- sample" tests.</a:t>
          </a:r>
        </a:p>
        <a:p>
          <a:endParaRPr lang="en-GB" sz="1100" baseline="0"/>
        </a:p>
        <a:p>
          <a:r>
            <a:rPr lang="en-GB" sz="1100" baseline="0"/>
            <a:t>At the precious sheets, we gerated predictions using linear regressions (TREND function) and poisson regressions (POITREND function). The forecast error is the default rate in t minus the default rate prediction that was made for t at the end of t-1.  In assessing the forecast errors one has to amake some assesment on their consequences. A common choice is to apply a quadratic loss function. </a:t>
          </a:r>
        </a:p>
        <a:p>
          <a:endParaRPr lang="en-GB" sz="1100" baseline="0"/>
        </a:p>
        <a:p>
          <a:r>
            <a:rPr lang="en-GB" sz="1100" baseline="0"/>
            <a:t>The techniques employed in a backtest can be easily adapted to different loss functions. On the other hand, it is difficult to derive statements on whether observed losses are large , acceptable or small in absolute terms. A standard solution to this problem is to examine whether forecast errors are smaller than those from a simple alternative, which is prevailing average default rate is the best alternative. It is easily available , and it would be optimal forecast if expected default rates did not vary over time.</a:t>
          </a:r>
        </a:p>
        <a:p>
          <a:endParaRPr lang="en-GB" sz="1100" baseline="0"/>
        </a:p>
        <a:p>
          <a:r>
            <a:rPr lang="en-GB" sz="1100"/>
            <a:t> We</a:t>
          </a:r>
          <a:r>
            <a:rPr lang="en-GB" sz="1100" baseline="0"/>
            <a:t> calculated squared out-of-sample prediction errors for the 10 years from 1996 - 2005. we do so for the prevailing mean as the benchmark model, and our forecast models 1 and 2, estimated with linear or poisson regression. </a:t>
          </a:r>
        </a:p>
        <a:p>
          <a:endParaRPr lang="en-GB" sz="1100" baseline="0"/>
        </a:p>
        <a:p>
          <a:r>
            <a:rPr lang="en-GB" sz="1100" baseline="0">
              <a:solidFill>
                <a:srgbClr val="FF0000"/>
              </a:solidFill>
            </a:rPr>
            <a:t>Conclusions out from the graph:</a:t>
          </a:r>
        </a:p>
        <a:p>
          <a:pPr marL="171450" indent="-171450">
            <a:buFont typeface="Arial" panose="020B0604020202020204" pitchFamily="34" charset="0"/>
            <a:buChar char="•"/>
          </a:pPr>
          <a:r>
            <a:rPr lang="en-GB" sz="1100"/>
            <a:t>Each regression model outperforms the benchmark model. </a:t>
          </a:r>
        </a:p>
        <a:p>
          <a:pPr marL="171450" indent="-171450">
            <a:buFont typeface="Arial" panose="020B0604020202020204" pitchFamily="34" charset="0"/>
            <a:buChar char="•"/>
          </a:pPr>
          <a:r>
            <a:rPr lang="en-GB" sz="1100"/>
            <a:t>Poisson leads to lower forecast errorr</a:t>
          </a:r>
          <a:r>
            <a:rPr lang="en-GB" sz="1100" baseline="0"/>
            <a:t> than the linear regression.</a:t>
          </a:r>
        </a:p>
        <a:p>
          <a:pPr marL="171450" indent="-171450">
            <a:buFont typeface="Arial" panose="020B0604020202020204" pitchFamily="34" charset="0"/>
            <a:buChar char="•"/>
          </a:pPr>
          <a:r>
            <a:rPr lang="en-GB" sz="1100" baseline="0"/>
            <a:t>The difference between regression models and benchmark is fairly large.</a:t>
          </a:r>
        </a:p>
        <a:p>
          <a:pPr marL="171450" indent="-171450">
            <a:buFont typeface="Arial" panose="020B0604020202020204" pitchFamily="34" charset="0"/>
            <a:buChar char="•"/>
          </a:pPr>
          <a:r>
            <a:rPr lang="en-GB" sz="1100" baseline="0"/>
            <a:t>using linear regression reduces the cumulative squared prediction error by up to 38% = (11.95/19.13-1)</a:t>
          </a:r>
        </a:p>
        <a:p>
          <a:pPr marL="171450" indent="-171450">
            <a:buFont typeface="Arial" panose="020B0604020202020204" pitchFamily="34" charset="0"/>
            <a:buChar char="•"/>
          </a:pPr>
          <a:r>
            <a:rPr lang="en-GB" sz="1100" baseline="0"/>
            <a:t>using poisson regression reduces the error by up to 76% = (4.44/19.13-1)</a:t>
          </a:r>
        </a:p>
        <a:p>
          <a:pPr marL="171450" indent="-171450">
            <a:buFont typeface="Arial" panose="020B0604020202020204" pitchFamily="34" charset="0"/>
            <a:buChar char="•"/>
          </a:pPr>
          <a:r>
            <a:rPr lang="en-GB" sz="1100" baseline="0"/>
            <a:t>from 2002 onwards, the more general models 1 (using more factors) perform better than models 2. i.e, the more general a model , the more data is needed to get precise coefficient estimates.   </a:t>
          </a:r>
        </a:p>
        <a:p>
          <a:pPr marL="171450" indent="-171450">
            <a:buFont typeface="Arial" panose="020B0604020202020204" pitchFamily="34" charset="0"/>
            <a:buChar char="•"/>
          </a:pPr>
          <a:endParaRPr lang="en-GB" sz="1100" baseline="0"/>
        </a:p>
        <a:p>
          <a:r>
            <a:rPr lang="en-GB" sz="1100">
              <a:solidFill>
                <a:srgbClr val="FF0000"/>
              </a:solidFill>
            </a:rPr>
            <a:t>Why there is an</a:t>
          </a:r>
          <a:r>
            <a:rPr lang="en-GB" sz="1100" baseline="0">
              <a:solidFill>
                <a:srgbClr val="FF0000"/>
              </a:solidFill>
            </a:rPr>
            <a:t> upwards</a:t>
          </a:r>
          <a:r>
            <a:rPr lang="en-GB" sz="1100">
              <a:solidFill>
                <a:srgbClr val="FF0000"/>
              </a:solidFill>
            </a:rPr>
            <a:t> break in the forecast errors on 2002 onwards?</a:t>
          </a:r>
        </a:p>
        <a:p>
          <a:r>
            <a:rPr lang="en-GB" sz="1100"/>
            <a:t>It's because default rate strongly deviated from its</a:t>
          </a:r>
          <a:r>
            <a:rPr lang="en-GB" sz="1100" baseline="0"/>
            <a:t> historical average</a:t>
          </a:r>
          <a:r>
            <a:rPr lang="en-GB" sz="1100"/>
            <a:t> in this year. It is exactly in those</a:t>
          </a:r>
          <a:r>
            <a:rPr lang="en-GB" sz="1100" baseline="0"/>
            <a:t> years which we would expect regression models to perform much better than the simple average. </a:t>
          </a:r>
          <a:r>
            <a:rPr lang="en-GB" sz="1100"/>
            <a:t> </a:t>
          </a:r>
        </a:p>
        <a:p>
          <a:endParaRPr lang="en-GB" sz="1100"/>
        </a:p>
        <a:p>
          <a:endParaRPr lang="en-GB" sz="1100"/>
        </a:p>
      </xdr:txBody>
    </xdr:sp>
    <xdr:clientData/>
  </xdr:twoCellAnchor>
  <xdr:twoCellAnchor>
    <xdr:from>
      <xdr:col>8</xdr:col>
      <xdr:colOff>57150</xdr:colOff>
      <xdr:row>0</xdr:row>
      <xdr:rowOff>28575</xdr:rowOff>
    </xdr:from>
    <xdr:to>
      <xdr:col>19</xdr:col>
      <xdr:colOff>533400</xdr:colOff>
      <xdr:row>2</xdr:row>
      <xdr:rowOff>38100</xdr:rowOff>
    </xdr:to>
    <xdr:sp macro="" textlink="">
      <xdr:nvSpPr>
        <xdr:cNvPr id="3" name="TextBox 2">
          <a:extLst>
            <a:ext uri="{FF2B5EF4-FFF2-40B4-BE49-F238E27FC236}">
              <a16:creationId xmlns:a16="http://schemas.microsoft.com/office/drawing/2014/main" id="{FF64EFDB-6FA5-4B19-8650-90771E0E86A1}"/>
            </a:ext>
          </a:extLst>
        </xdr:cNvPr>
        <xdr:cNvSpPr txBox="1"/>
      </xdr:nvSpPr>
      <xdr:spPr>
        <a:xfrm>
          <a:off x="4933950" y="28575"/>
          <a:ext cx="7743825" cy="390525"/>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Backtesting: cumulative</a:t>
          </a:r>
          <a:r>
            <a:rPr lang="en-GB" sz="1100" b="1" baseline="0"/>
            <a:t> squared prediction errors of regression models compared to the ones of the trailing average </a:t>
          </a:r>
          <a:endParaRPr lang="en-GB" sz="1100" b="1"/>
        </a:p>
      </xdr:txBody>
    </xdr:sp>
    <xdr:clientData/>
  </xdr:twoCellAnchor>
  <xdr:twoCellAnchor>
    <xdr:from>
      <xdr:col>0</xdr:col>
      <xdr:colOff>409575</xdr:colOff>
      <xdr:row>2</xdr:row>
      <xdr:rowOff>95250</xdr:rowOff>
    </xdr:from>
    <xdr:to>
      <xdr:col>8</xdr:col>
      <xdr:colOff>104775</xdr:colOff>
      <xdr:row>16</xdr:row>
      <xdr:rowOff>171450</xdr:rowOff>
    </xdr:to>
    <xdr:graphicFrame macro="">
      <xdr:nvGraphicFramePr>
        <xdr:cNvPr id="4" name="Chart 3">
          <a:extLst>
            <a:ext uri="{FF2B5EF4-FFF2-40B4-BE49-F238E27FC236}">
              <a16:creationId xmlns:a16="http://schemas.microsoft.com/office/drawing/2014/main" id="{7D6AEC65-F0C9-47F4-8A9A-D0A21828C6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33</xdr:row>
      <xdr:rowOff>161925</xdr:rowOff>
    </xdr:from>
    <xdr:to>
      <xdr:col>28</xdr:col>
      <xdr:colOff>57150</xdr:colOff>
      <xdr:row>52</xdr:row>
      <xdr:rowOff>95250</xdr:rowOff>
    </xdr:to>
    <xdr:sp macro="" textlink="">
      <xdr:nvSpPr>
        <xdr:cNvPr id="5" name="TextBox 4">
          <a:extLst>
            <a:ext uri="{FF2B5EF4-FFF2-40B4-BE49-F238E27FC236}">
              <a16:creationId xmlns:a16="http://schemas.microsoft.com/office/drawing/2014/main" id="{73855639-6F1B-4C90-B701-0B81C5B87AE2}"/>
            </a:ext>
          </a:extLst>
        </xdr:cNvPr>
        <xdr:cNvSpPr txBox="1"/>
      </xdr:nvSpPr>
      <xdr:spPr>
        <a:xfrm>
          <a:off x="9944100" y="6448425"/>
          <a:ext cx="7743825" cy="3552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To test the consistency of performance differentials,</a:t>
          </a:r>
          <a:r>
            <a:rPr lang="en-GB" sz="1100" baseline="0"/>
            <a:t> we count the number of years in which the simple average leads to lower annual squared forecst errors. By subtracting the previous cummulative error from the current cumulative one, we get the current year's error. We then compare the forecast error of a regression model to the one from the average. The visual inspection of this is stated on the left:</a:t>
          </a:r>
        </a:p>
        <a:p>
          <a:endParaRPr lang="en-GB" sz="1100" baseline="0"/>
        </a:p>
        <a:p>
          <a:pPr marL="171450" indent="-171450">
            <a:buFont typeface="Arial" panose="020B0604020202020204" pitchFamily="34" charset="0"/>
            <a:buChar char="•"/>
          </a:pPr>
          <a:r>
            <a:rPr lang="en-GB" sz="1100"/>
            <a:t>the trailing average outperforms three models in three years out of 10</a:t>
          </a:r>
        </a:p>
        <a:p>
          <a:pPr marL="171450" indent="-171450">
            <a:buFont typeface="Arial" panose="020B0604020202020204" pitchFamily="34" charset="0"/>
            <a:buChar char="•"/>
          </a:pPr>
          <a:r>
            <a:rPr lang="en-GB" sz="1100"/>
            <a:t>the linear regression model 2 is only outperformed in 2 years out of 10</a:t>
          </a:r>
        </a:p>
        <a:p>
          <a:pPr marL="171450" indent="-171450">
            <a:buFont typeface="Arial" panose="020B0604020202020204" pitchFamily="34" charset="0"/>
            <a:buChar char="•"/>
          </a:pPr>
          <a:r>
            <a:rPr lang="en-GB" sz="1100"/>
            <a:t>regression models perform better in the majority of years.</a:t>
          </a:r>
        </a:p>
        <a:p>
          <a:pPr marL="171450" indent="-171450">
            <a:buFont typeface="Arial" panose="020B0604020202020204" pitchFamily="34" charset="0"/>
            <a:buChar char="•"/>
          </a:pPr>
          <a:endParaRPr lang="en-GB" sz="1100"/>
        </a:p>
        <a:p>
          <a:pPr marL="0" indent="0">
            <a:buFont typeface="Arial" panose="020B0604020202020204" pitchFamily="34" charset="0"/>
            <a:buNone/>
          </a:pPr>
          <a:r>
            <a:rPr lang="en-GB" sz="1100"/>
            <a:t>we</a:t>
          </a:r>
          <a:r>
            <a:rPr lang="en-GB" sz="1100" baseline="0"/>
            <a:t> can also make a statement on the statistical significance of this consistency by performing a sign test. If the regression models were no better than the average , the number of years in which the average is superior would follow a binomial distribution with success probability 0.5. The fewer years we observe in which the average outperforms, the confident can we be that a regression model is better. </a:t>
          </a:r>
        </a:p>
        <a:p>
          <a:pPr marL="0" indent="0">
            <a:buFont typeface="Arial" panose="020B0604020202020204" pitchFamily="34" charset="0"/>
            <a:buNone/>
          </a:pPr>
          <a:endParaRPr lang="en-GB" sz="1100" baseline="0"/>
        </a:p>
        <a:p>
          <a:pPr marL="0" indent="0">
            <a:buFont typeface="Arial" panose="020B0604020202020204" pitchFamily="34" charset="0"/>
            <a:buNone/>
          </a:pPr>
          <a:r>
            <a:rPr lang="en-GB" sz="1100" baseline="0"/>
            <a:t>The p-value of the sign test with the null hypothesis that the average is better can be computed through the function BINOMDIST (number of successes, trials, probability of success, cumulative) </a:t>
          </a:r>
        </a:p>
        <a:p>
          <a:pPr marL="0" indent="0">
            <a:buFont typeface="Arial" panose="020B0604020202020204" pitchFamily="34" charset="0"/>
            <a:buNone/>
          </a:pPr>
          <a:endParaRPr lang="en-GB" sz="1100" baseline="0"/>
        </a:p>
        <a:p>
          <a:pPr marL="0" indent="0">
            <a:buFont typeface="Arial" panose="020B0604020202020204" pitchFamily="34" charset="0"/>
            <a:buNone/>
          </a:pPr>
          <a:r>
            <a:rPr lang="en-GB" sz="1100"/>
            <a:t>The lower the p-value , the higher the confidence with which we can reject the hypothesis that the trailing average is superior to the regression models.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152400</xdr:colOff>
      <xdr:row>0</xdr:row>
      <xdr:rowOff>95250</xdr:rowOff>
    </xdr:from>
    <xdr:to>
      <xdr:col>17</xdr:col>
      <xdr:colOff>200025</xdr:colOff>
      <xdr:row>2</xdr:row>
      <xdr:rowOff>76200</xdr:rowOff>
    </xdr:to>
    <xdr:sp macro="" textlink="">
      <xdr:nvSpPr>
        <xdr:cNvPr id="2" name="TextBox 1">
          <a:extLst>
            <a:ext uri="{FF2B5EF4-FFF2-40B4-BE49-F238E27FC236}">
              <a16:creationId xmlns:a16="http://schemas.microsoft.com/office/drawing/2014/main" id="{4356B50C-8E19-4E8B-B7D1-2F9EA13A9D71}"/>
            </a:ext>
          </a:extLst>
        </xdr:cNvPr>
        <xdr:cNvSpPr txBox="1"/>
      </xdr:nvSpPr>
      <xdr:spPr>
        <a:xfrm>
          <a:off x="8153400" y="95250"/>
          <a:ext cx="2486025" cy="3619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a:t>Predicting Transition Matrices</a:t>
          </a:r>
        </a:p>
      </xdr:txBody>
    </xdr:sp>
    <xdr:clientData/>
  </xdr:twoCellAnchor>
  <xdr:twoCellAnchor>
    <xdr:from>
      <xdr:col>11</xdr:col>
      <xdr:colOff>590550</xdr:colOff>
      <xdr:row>3</xdr:row>
      <xdr:rowOff>57151</xdr:rowOff>
    </xdr:from>
    <xdr:to>
      <xdr:col>23</xdr:col>
      <xdr:colOff>323850</xdr:colOff>
      <xdr:row>12</xdr:row>
      <xdr:rowOff>38101</xdr:rowOff>
    </xdr:to>
    <xdr:sp macro="" textlink="">
      <xdr:nvSpPr>
        <xdr:cNvPr id="3" name="TextBox 2">
          <a:extLst>
            <a:ext uri="{FF2B5EF4-FFF2-40B4-BE49-F238E27FC236}">
              <a16:creationId xmlns:a16="http://schemas.microsoft.com/office/drawing/2014/main" id="{1099D2F1-9720-4D88-8A14-7444D379F635}"/>
            </a:ext>
          </a:extLst>
        </xdr:cNvPr>
        <xdr:cNvSpPr txBox="1"/>
      </xdr:nvSpPr>
      <xdr:spPr>
        <a:xfrm>
          <a:off x="7372350" y="628651"/>
          <a:ext cx="7048500" cy="1695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default rates also recorded in transition matrices, together with transition rates. ie.</a:t>
          </a:r>
          <a:r>
            <a:rPr lang="en-GB" sz="1100" baseline="0"/>
            <a:t> the average frequencies with which ratings migrate from one rating to another. Like default rates transition rates vary over time. </a:t>
          </a:r>
          <a:r>
            <a:rPr lang="en-GB" sz="1100"/>
            <a:t> </a:t>
          </a:r>
        </a:p>
        <a:p>
          <a:endParaRPr lang="en-GB" sz="1100"/>
        </a:p>
        <a:p>
          <a:r>
            <a:rPr lang="en-GB" sz="1100"/>
            <a:t>Transition rates were estimated using the cohort approach. </a:t>
          </a:r>
        </a:p>
        <a:p>
          <a:endParaRPr lang="en-GB" sz="1100"/>
        </a:p>
        <a:p>
          <a:r>
            <a:rPr lang="en-GB" sz="1100"/>
            <a:t>Conclusions:</a:t>
          </a:r>
        </a:p>
        <a:p>
          <a:r>
            <a:rPr lang="en-GB" sz="1100"/>
            <a:t>the default rates were very high in 2002, so that the downgrade frequencies. For</a:t>
          </a:r>
          <a:r>
            <a:rPr lang="en-GB" sz="1100" baseline="0"/>
            <a:t> example, 9.15% of the B-rated issuers from the start of 2002, ended up in the CCC category at the end of 2002. however, the long run average transition rate from B to CCC was only 4.21%. </a:t>
          </a:r>
          <a:endParaRPr lang="en-GB" sz="1100"/>
        </a:p>
      </xdr:txBody>
    </xdr:sp>
    <xdr:clientData/>
  </xdr:twoCellAnchor>
  <xdr:twoCellAnchor>
    <xdr:from>
      <xdr:col>12</xdr:col>
      <xdr:colOff>180975</xdr:colOff>
      <xdr:row>22</xdr:row>
      <xdr:rowOff>161925</xdr:rowOff>
    </xdr:from>
    <xdr:to>
      <xdr:col>23</xdr:col>
      <xdr:colOff>152400</xdr:colOff>
      <xdr:row>36</xdr:row>
      <xdr:rowOff>19050</xdr:rowOff>
    </xdr:to>
    <xdr:sp macro="" textlink="">
      <xdr:nvSpPr>
        <xdr:cNvPr id="4" name="TextBox 3">
          <a:extLst>
            <a:ext uri="{FF2B5EF4-FFF2-40B4-BE49-F238E27FC236}">
              <a16:creationId xmlns:a16="http://schemas.microsoft.com/office/drawing/2014/main" id="{33F93104-3C15-43BB-9EAE-80DEFF28FF63}"/>
            </a:ext>
          </a:extLst>
        </xdr:cNvPr>
        <xdr:cNvSpPr txBox="1"/>
      </xdr:nvSpPr>
      <xdr:spPr>
        <a:xfrm>
          <a:off x="7572375" y="4352925"/>
          <a:ext cx="6677025" cy="2524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We can describe the entire transition</a:t>
          </a:r>
          <a:r>
            <a:rPr lang="en-GB" sz="1100" baseline="0"/>
            <a:t> matrix by the concept that transitions are driven by standard normally distributed variable x and so without losing any information. Instead of describing transition behaviour through transition rates, we can describe it through a set of thresholds. Each bin triggers a certain specific transition whenever the variable x ends up in this bin.</a:t>
          </a:r>
        </a:p>
        <a:p>
          <a:endParaRPr lang="en-GB" sz="1100" baseline="0"/>
        </a:p>
        <a:p>
          <a:r>
            <a:rPr lang="en-GB" sz="1100" baseline="0"/>
            <a:t>we can start to define the bins at any of the two extereme transitions, transitions to AAA to transitions to default.</a:t>
          </a:r>
        </a:p>
        <a:p>
          <a:endParaRPr lang="en-GB" sz="1100" baseline="0"/>
        </a:p>
        <a:p>
          <a:r>
            <a:rPr lang="en-GB" sz="1100" baseline="0"/>
            <a:t>if the probability of migration from A to D is 0.042% we can define the D bin as by the inverse cummulative standard normal distribution function. the upper threshold for this D bin becomes the lower threshold for CCC/C bin with a probability of 0.031%. </a:t>
          </a:r>
        </a:p>
        <a:p>
          <a:endParaRPr lang="en-GB" sz="1100" baseline="0"/>
        </a:p>
        <a:p>
          <a:r>
            <a:rPr lang="en-GB" sz="1100" baseline="0"/>
            <a:t>through the 8 bins, we need to compute 7 thresholds. Since the normal distribution is symmetric another valid binning would result if we multiplied all threshold values from above by -1.</a:t>
          </a:r>
          <a:endParaRPr lang="en-GB" sz="1100"/>
        </a:p>
      </xdr:txBody>
    </xdr:sp>
    <xdr:clientData/>
  </xdr:twoCellAnchor>
  <xdr:twoCellAnchor>
    <xdr:from>
      <xdr:col>10</xdr:col>
      <xdr:colOff>57150</xdr:colOff>
      <xdr:row>37</xdr:row>
      <xdr:rowOff>152400</xdr:rowOff>
    </xdr:from>
    <xdr:to>
      <xdr:col>17</xdr:col>
      <xdr:colOff>361950</xdr:colOff>
      <xdr:row>52</xdr:row>
      <xdr:rowOff>38100</xdr:rowOff>
    </xdr:to>
    <xdr:graphicFrame macro="">
      <xdr:nvGraphicFramePr>
        <xdr:cNvPr id="5" name="Chart 4">
          <a:extLst>
            <a:ext uri="{FF2B5EF4-FFF2-40B4-BE49-F238E27FC236}">
              <a16:creationId xmlns:a16="http://schemas.microsoft.com/office/drawing/2014/main" id="{21A4AB24-8E92-46FC-AA66-1FFDA8BBBB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523875</xdr:colOff>
      <xdr:row>54</xdr:row>
      <xdr:rowOff>57150</xdr:rowOff>
    </xdr:from>
    <xdr:to>
      <xdr:col>18</xdr:col>
      <xdr:colOff>219075</xdr:colOff>
      <xdr:row>68</xdr:row>
      <xdr:rowOff>133350</xdr:rowOff>
    </xdr:to>
    <xdr:graphicFrame macro="">
      <xdr:nvGraphicFramePr>
        <xdr:cNvPr id="6" name="Chart 5">
          <a:extLst>
            <a:ext uri="{FF2B5EF4-FFF2-40B4-BE49-F238E27FC236}">
              <a16:creationId xmlns:a16="http://schemas.microsoft.com/office/drawing/2014/main" id="{B57E6806-14C2-4DF4-80E7-B284E49661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xdr:col>
      <xdr:colOff>381000</xdr:colOff>
      <xdr:row>2</xdr:row>
      <xdr:rowOff>19050</xdr:rowOff>
    </xdr:from>
    <xdr:to>
      <xdr:col>23</xdr:col>
      <xdr:colOff>66675</xdr:colOff>
      <xdr:row>24</xdr:row>
      <xdr:rowOff>19050</xdr:rowOff>
    </xdr:to>
    <xdr:sp macro="" textlink="">
      <xdr:nvSpPr>
        <xdr:cNvPr id="2" name="TextBox 1">
          <a:extLst>
            <a:ext uri="{FF2B5EF4-FFF2-40B4-BE49-F238E27FC236}">
              <a16:creationId xmlns:a16="http://schemas.microsoft.com/office/drawing/2014/main" id="{A086AB7B-0F87-450A-8943-4F3415AB1DD9}"/>
            </a:ext>
          </a:extLst>
        </xdr:cNvPr>
        <xdr:cNvSpPr txBox="1"/>
      </xdr:nvSpPr>
      <xdr:spPr>
        <a:xfrm>
          <a:off x="5867400" y="400050"/>
          <a:ext cx="8220075" cy="419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if the transition matrix has a negative mean rather than zero, its density will be shifted to the left. </a:t>
          </a:r>
        </a:p>
        <a:p>
          <a:r>
            <a:rPr lang="en-GB" sz="1100"/>
            <a:t>the probability of a transition is the probability of ending up in the associated bin. This probability is equal to the area enclosed by the boundaries of the bin and the density function. therefore, a shift to the left would increase the probabilities of</a:t>
          </a:r>
          <a:r>
            <a:rPr lang="en-GB" sz="1100" baseline="0"/>
            <a:t> downgrades as well as the probability of default. In the same way, one could reduce the probabilities of downgrade and default by shifting the distribution to the right.</a:t>
          </a:r>
        </a:p>
        <a:p>
          <a:endParaRPr lang="en-GB" sz="1100" baseline="0"/>
        </a:p>
        <a:p>
          <a:r>
            <a:rPr lang="en-GB" sz="1100" baseline="0"/>
            <a:t>at the table on the left we compute the transition probabilities that result after a shift. The magnitude of the shift is called "Credit Index" and specified with a specific cell. A negative number means that the distribution function is shifted to the left , thus increasing the probabilities of downgrade and default.</a:t>
          </a:r>
        </a:p>
        <a:p>
          <a:endParaRPr lang="en-GB" sz="1100" baseline="0"/>
        </a:p>
        <a:p>
          <a:r>
            <a:rPr lang="en-GB" sz="1100" baseline="0"/>
            <a:t>The probability that  a normal variable with mean m and standard deviation 1 ends up to the left of a threshold is given NORMSDIST(threshold - m). We will use this formula to obtain the probability of ending up below the upper threshold of the bin, and then substract the probability of ending up below the lower threshold of the bin. </a:t>
          </a:r>
        </a:p>
        <a:p>
          <a:endParaRPr lang="en-GB" sz="1100" baseline="0"/>
        </a:p>
        <a:p>
          <a:r>
            <a:rPr lang="en-GB" sz="1100" baseline="0"/>
            <a:t>steps:</a:t>
          </a:r>
        </a:p>
        <a:p>
          <a:endParaRPr lang="en-GB" sz="1100" baseline="0"/>
        </a:p>
        <a:p>
          <a:pPr marL="228600" indent="-228600">
            <a:buFont typeface="+mj-lt"/>
            <a:buAutoNum type="arabicPeriod"/>
          </a:pPr>
          <a:r>
            <a:rPr lang="en-GB" sz="1100"/>
            <a:t>we find credit indices that best fit historically observed annual transition matrices</a:t>
          </a:r>
        </a:p>
        <a:p>
          <a:pPr marL="228600" indent="-228600">
            <a:buFont typeface="+mj-lt"/>
            <a:buAutoNum type="arabicPeriod"/>
          </a:pPr>
          <a:r>
            <a:rPr lang="en-GB" sz="1100"/>
            <a:t>based on step 1, we build a forecasting model to predict credit indices</a:t>
          </a:r>
        </a:p>
        <a:p>
          <a:pPr marL="228600" indent="-228600">
            <a:buFont typeface="+mj-lt"/>
            <a:buAutoNum type="arabicPeriod"/>
          </a:pPr>
          <a:r>
            <a:rPr lang="en-GB" sz="1100"/>
            <a:t>we use the predictions from step 2 to forecast transition matrices</a:t>
          </a:r>
        </a:p>
        <a:p>
          <a:pPr marL="228600" indent="-228600">
            <a:buFont typeface="+mj-lt"/>
            <a:buAutoNum type="arabicPeriod"/>
          </a:pPr>
          <a:r>
            <a:rPr lang="en-GB" sz="1100"/>
            <a:t>we subject the forecasts from step 3 to a backtest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29"/>
  <sheetViews>
    <sheetView tabSelected="1" workbookViewId="0">
      <selection activeCell="L24" sqref="L24"/>
    </sheetView>
  </sheetViews>
  <sheetFormatPr defaultColWidth="9.140625" defaultRowHeight="15" x14ac:dyDescent="0.25"/>
  <sheetData>
    <row r="1" spans="1:13" x14ac:dyDescent="0.25">
      <c r="A1" t="s">
        <v>0</v>
      </c>
      <c r="B1" t="s">
        <v>1</v>
      </c>
      <c r="C1" t="s">
        <v>2</v>
      </c>
      <c r="D1" t="s">
        <v>3</v>
      </c>
      <c r="E1" t="s">
        <v>4</v>
      </c>
      <c r="F1" t="s">
        <v>5</v>
      </c>
      <c r="G1" s="1"/>
    </row>
    <row r="2" spans="1:13" x14ac:dyDescent="0.25">
      <c r="A2" s="2">
        <v>1981</v>
      </c>
      <c r="B2" s="3">
        <v>0</v>
      </c>
      <c r="C2" s="4">
        <v>-7.3402554111579139</v>
      </c>
      <c r="D2" s="5" t="s">
        <v>6</v>
      </c>
      <c r="E2" s="5">
        <v>27.024567788899002</v>
      </c>
      <c r="F2" s="4">
        <v>2.77</v>
      </c>
      <c r="G2" s="6"/>
    </row>
    <row r="3" spans="1:13" x14ac:dyDescent="0.25">
      <c r="A3" s="2">
        <v>1982</v>
      </c>
      <c r="B3" s="3">
        <v>0.18198362147406735</v>
      </c>
      <c r="C3" s="4">
        <v>5.5275205311899445</v>
      </c>
      <c r="D3" s="5" t="s">
        <v>6</v>
      </c>
      <c r="E3" s="5">
        <v>27.807486631016044</v>
      </c>
      <c r="F3" s="4">
        <v>3.68</v>
      </c>
      <c r="G3" s="6" t="s">
        <v>7</v>
      </c>
      <c r="H3" t="s">
        <v>5</v>
      </c>
      <c r="I3" t="s">
        <v>4</v>
      </c>
      <c r="J3" t="s">
        <v>3</v>
      </c>
      <c r="K3" t="s">
        <v>2</v>
      </c>
      <c r="L3" t="s">
        <v>8</v>
      </c>
    </row>
    <row r="4" spans="1:13" x14ac:dyDescent="0.25">
      <c r="A4" s="2">
        <v>1983</v>
      </c>
      <c r="B4" s="3">
        <v>8.9126559714795009E-2</v>
      </c>
      <c r="C4" s="4">
        <v>18.501396900689393</v>
      </c>
      <c r="D4" s="5" t="s">
        <v>6</v>
      </c>
      <c r="E4" s="5">
        <v>25.740897544453851</v>
      </c>
      <c r="F4" s="4">
        <v>2</v>
      </c>
      <c r="G4" s="1" t="s">
        <v>9</v>
      </c>
      <c r="H4" s="7">
        <f t="array" ref="H4:L7">LINEST(B6:B26,C5:F25,1,1)</f>
        <v>5.0783042572021868E-2</v>
      </c>
      <c r="I4" s="7">
        <v>3.5732000166994403E-3</v>
      </c>
      <c r="J4" s="7">
        <v>1.8521272361763666E-2</v>
      </c>
      <c r="K4" s="7">
        <v>-1.583659173130645E-2</v>
      </c>
      <c r="L4" s="7">
        <v>-0.22895953589174795</v>
      </c>
    </row>
    <row r="5" spans="1:13" x14ac:dyDescent="0.25">
      <c r="A5" s="2">
        <v>1984</v>
      </c>
      <c r="B5" s="3">
        <v>0.16934801016088061</v>
      </c>
      <c r="C5" s="4">
        <v>-0.12901884833796951</v>
      </c>
      <c r="D5" s="3">
        <v>3.618667763157895</v>
      </c>
      <c r="E5" s="5">
        <v>23.273026315789476</v>
      </c>
      <c r="F5" s="4">
        <v>1.84</v>
      </c>
      <c r="G5" s="1" t="s">
        <v>10</v>
      </c>
      <c r="H5" s="7">
        <v>3.306758295005402E-2</v>
      </c>
      <c r="I5" s="7">
        <v>2.6966765697463715E-3</v>
      </c>
      <c r="J5" s="7">
        <v>9.2937866372937786E-3</v>
      </c>
      <c r="K5" s="7">
        <v>4.3875429856537283E-3</v>
      </c>
      <c r="L5" s="7">
        <v>9.7998188729222058E-2</v>
      </c>
    </row>
    <row r="6" spans="1:13" x14ac:dyDescent="0.25">
      <c r="A6" s="2">
        <v>1985</v>
      </c>
      <c r="B6" s="3">
        <v>0</v>
      </c>
      <c r="C6" s="4">
        <v>4.2559026949677836</v>
      </c>
      <c r="D6" s="3">
        <v>6.282296185489904</v>
      </c>
      <c r="E6" s="5">
        <v>22.587883320867615</v>
      </c>
      <c r="F6" s="4">
        <v>2.36</v>
      </c>
      <c r="G6" s="1" t="s">
        <v>11</v>
      </c>
      <c r="H6" s="7">
        <v>0.60197904165557081</v>
      </c>
      <c r="I6" s="7">
        <v>7.8253573064696783E-2</v>
      </c>
      <c r="J6" s="7" t="e">
        <v>#N/A</v>
      </c>
      <c r="K6" s="7" t="e">
        <v>#N/A</v>
      </c>
      <c r="L6" s="7" t="e">
        <v>#N/A</v>
      </c>
    </row>
    <row r="7" spans="1:13" x14ac:dyDescent="0.25">
      <c r="A7" s="2">
        <v>1986</v>
      </c>
      <c r="B7" s="3">
        <v>0.14958863126402394</v>
      </c>
      <c r="C7" s="4">
        <v>3.0575539568345134</v>
      </c>
      <c r="D7" s="3">
        <v>8.3958170914542727</v>
      </c>
      <c r="E7" s="5">
        <v>24.212893553223388</v>
      </c>
      <c r="F7" s="4">
        <v>2.75</v>
      </c>
      <c r="G7" s="1" t="s">
        <v>12</v>
      </c>
      <c r="H7" s="7">
        <v>6.0497220463917953</v>
      </c>
      <c r="I7" s="8">
        <v>16</v>
      </c>
      <c r="J7" s="7" t="e">
        <v>#N/A</v>
      </c>
      <c r="K7" s="7" t="e">
        <v>#N/A</v>
      </c>
      <c r="L7" s="7" t="e">
        <v>#N/A</v>
      </c>
    </row>
    <row r="8" spans="1:13" x14ac:dyDescent="0.25">
      <c r="A8" s="2">
        <v>1987</v>
      </c>
      <c r="B8" s="3">
        <v>0</v>
      </c>
      <c r="C8" s="4">
        <v>-0.93099029837085956</v>
      </c>
      <c r="D8" s="3">
        <v>5.4116234247590818</v>
      </c>
      <c r="E8" s="5">
        <v>24.610822831727205</v>
      </c>
      <c r="F8" s="4">
        <v>2.4500000000000002</v>
      </c>
      <c r="G8" s="1" t="s">
        <v>13</v>
      </c>
      <c r="H8" s="9">
        <f>H4/H5</f>
        <v>1.5357349416413548</v>
      </c>
      <c r="I8" s="9">
        <f>I4/I5</f>
        <v>1.3250384034877078</v>
      </c>
      <c r="J8" s="9">
        <f>J4/J5</f>
        <v>1.9928661034074269</v>
      </c>
      <c r="K8" s="9">
        <f>K4/K5</f>
        <v>-3.6094442340709865</v>
      </c>
      <c r="L8" s="9">
        <f>L4/L5</f>
        <v>-2.3363649763403695</v>
      </c>
      <c r="M8" s="10" t="s">
        <v>14</v>
      </c>
    </row>
    <row r="9" spans="1:13" x14ac:dyDescent="0.25">
      <c r="A9" s="2">
        <v>1988</v>
      </c>
      <c r="B9" s="3">
        <v>0</v>
      </c>
      <c r="C9" s="4">
        <v>3.171909672366513</v>
      </c>
      <c r="D9" s="3">
        <v>13.143535714285715</v>
      </c>
      <c r="E9" s="5">
        <v>23.857142857142858</v>
      </c>
      <c r="F9" s="4">
        <v>1.5</v>
      </c>
      <c r="G9" s="1" t="s">
        <v>15</v>
      </c>
      <c r="H9" s="9">
        <f>TDIST(ABS(H8),$I7,2)</f>
        <v>0.14414067854397247</v>
      </c>
      <c r="I9" s="9">
        <f>TDIST(ABS(I8),$I7,2)</f>
        <v>0.20377095633735412</v>
      </c>
      <c r="J9" s="9">
        <f>TDIST(ABS(J8),$I7,2)</f>
        <v>6.3617991173772717E-2</v>
      </c>
      <c r="K9" s="9">
        <f>TDIST(ABS(K8),$I7,2)</f>
        <v>2.351818250192734E-3</v>
      </c>
      <c r="L9" s="9">
        <f>TDIST(ABS(L8),$I7,2)</f>
        <v>3.2808201590716013E-2</v>
      </c>
    </row>
    <row r="10" spans="1:13" x14ac:dyDescent="0.25">
      <c r="A10" s="2">
        <v>1989</v>
      </c>
      <c r="B10" s="3">
        <v>0.14285714285714285</v>
      </c>
      <c r="C10" s="4">
        <v>-4.2101400180668325</v>
      </c>
      <c r="D10" s="3">
        <v>7.8089426399447133</v>
      </c>
      <c r="E10" s="5">
        <v>24.187975120939875</v>
      </c>
      <c r="F10" s="4">
        <v>1.92</v>
      </c>
      <c r="G10" s="1"/>
      <c r="H10" s="10" t="s">
        <v>16</v>
      </c>
    </row>
    <row r="11" spans="1:13" x14ac:dyDescent="0.25">
      <c r="A11" s="2">
        <v>1990</v>
      </c>
      <c r="B11" s="3">
        <v>0.138217000691085</v>
      </c>
      <c r="C11" s="4">
        <v>-4.5985579860686858</v>
      </c>
      <c r="D11" s="3">
        <v>7.5534090909090912</v>
      </c>
      <c r="E11" s="5">
        <v>24.532085561497325</v>
      </c>
      <c r="F11" s="4">
        <v>2.39</v>
      </c>
      <c r="G11" s="1"/>
      <c r="H11" s="9"/>
      <c r="I11" s="9"/>
      <c r="J11" s="9"/>
      <c r="K11" s="9"/>
      <c r="L11" s="9"/>
    </row>
    <row r="12" spans="1:13" x14ac:dyDescent="0.25">
      <c r="A12" s="2">
        <v>1991</v>
      </c>
      <c r="B12" s="3">
        <v>0.20053475935828879</v>
      </c>
      <c r="C12" s="4">
        <v>7.2237652981512301</v>
      </c>
      <c r="D12" s="3">
        <v>7.705984346779049</v>
      </c>
      <c r="E12" s="5">
        <v>23.660445514750151</v>
      </c>
      <c r="F12" s="4">
        <v>2.4300000000000002</v>
      </c>
      <c r="G12" s="1"/>
      <c r="J12" s="10" t="s">
        <v>17</v>
      </c>
      <c r="K12" s="9"/>
      <c r="L12" s="9"/>
    </row>
    <row r="13" spans="1:13" x14ac:dyDescent="0.25">
      <c r="A13" s="2">
        <v>1992</v>
      </c>
      <c r="B13" s="3">
        <v>0</v>
      </c>
      <c r="C13" s="4">
        <v>8.2321782132248611</v>
      </c>
      <c r="D13" s="3">
        <v>5.431102578167855</v>
      </c>
      <c r="E13" s="5">
        <v>25.507405375754249</v>
      </c>
      <c r="F13" s="4">
        <v>2.0499999999999998</v>
      </c>
      <c r="G13" s="6" t="s">
        <v>18</v>
      </c>
      <c r="H13" t="s">
        <v>3</v>
      </c>
      <c r="I13" t="s">
        <v>2</v>
      </c>
      <c r="J13" t="s">
        <v>8</v>
      </c>
      <c r="K13" s="9"/>
      <c r="L13" s="9"/>
    </row>
    <row r="14" spans="1:13" x14ac:dyDescent="0.25">
      <c r="A14" s="2">
        <v>1993</v>
      </c>
      <c r="B14" s="3">
        <v>0</v>
      </c>
      <c r="C14" s="4">
        <v>5.904068190820877</v>
      </c>
      <c r="D14" s="3">
        <v>5.3239039665970775</v>
      </c>
      <c r="E14" s="5">
        <v>26.409185803757829</v>
      </c>
      <c r="F14" s="4">
        <v>1.94</v>
      </c>
      <c r="G14" s="1" t="s">
        <v>9</v>
      </c>
      <c r="H14" s="7">
        <f t="array" ref="H14:J17">LINEST(B6:B26,C5:D25,1,1)</f>
        <v>2.3834227190977681E-2</v>
      </c>
      <c r="I14" s="7">
        <v>-1.2915502887442249E-2</v>
      </c>
      <c r="J14" s="7">
        <v>-5.7741583102397714E-2</v>
      </c>
      <c r="L14" s="9"/>
    </row>
    <row r="15" spans="1:13" x14ac:dyDescent="0.25">
      <c r="A15" s="2">
        <v>1994</v>
      </c>
      <c r="B15" s="3">
        <v>5.2192066805845504E-2</v>
      </c>
      <c r="C15" s="4">
        <v>3.7288891927781842</v>
      </c>
      <c r="D15" s="3">
        <v>9.2346128731343278</v>
      </c>
      <c r="E15" s="5">
        <v>27.565298507462689</v>
      </c>
      <c r="F15" s="4">
        <v>1.27</v>
      </c>
      <c r="G15" s="1" t="s">
        <v>10</v>
      </c>
      <c r="H15" s="7">
        <v>8.9768844545277064E-3</v>
      </c>
      <c r="I15" s="7">
        <v>4.5109775531399334E-3</v>
      </c>
      <c r="J15" s="7">
        <v>7.5890392379440674E-2</v>
      </c>
      <c r="K15" s="9"/>
      <c r="L15" s="9"/>
    </row>
    <row r="16" spans="1:13" x14ac:dyDescent="0.25">
      <c r="A16" s="2">
        <v>1995</v>
      </c>
      <c r="B16" s="3">
        <v>4.6641791044776115E-2</v>
      </c>
      <c r="C16" s="4">
        <v>2.1998172640539382</v>
      </c>
      <c r="D16" s="3">
        <v>7.7485102739726033</v>
      </c>
      <c r="E16" s="5">
        <v>29.88013698630137</v>
      </c>
      <c r="F16" s="4">
        <v>1.79</v>
      </c>
      <c r="G16" s="1" t="s">
        <v>11</v>
      </c>
      <c r="H16" s="7">
        <v>0.43910062154559876</v>
      </c>
      <c r="I16" s="7">
        <v>8.7582517436876089E-2</v>
      </c>
      <c r="J16" s="7" t="e">
        <v>#N/A</v>
      </c>
      <c r="K16" s="9"/>
      <c r="L16" s="9"/>
    </row>
    <row r="17" spans="1:12" x14ac:dyDescent="0.25">
      <c r="A17" s="2">
        <v>1996</v>
      </c>
      <c r="B17" s="3">
        <v>0</v>
      </c>
      <c r="C17" s="4">
        <v>0.13230886600186231</v>
      </c>
      <c r="D17" s="3">
        <v>7.7230497843982739</v>
      </c>
      <c r="E17" s="5">
        <v>31.948255586044688</v>
      </c>
      <c r="F17" s="4">
        <v>1.48</v>
      </c>
      <c r="G17" s="1" t="s">
        <v>12</v>
      </c>
      <c r="H17" s="7">
        <v>7.0456587147594103</v>
      </c>
      <c r="I17" s="8">
        <v>18</v>
      </c>
      <c r="J17" s="7" t="e">
        <v>#N/A</v>
      </c>
      <c r="K17" s="9"/>
      <c r="L17" s="9"/>
    </row>
    <row r="18" spans="1:12" x14ac:dyDescent="0.25">
      <c r="A18" s="2">
        <v>1997</v>
      </c>
      <c r="B18" s="3">
        <v>7.8400627205017642E-2</v>
      </c>
      <c r="C18" s="4">
        <v>2.13788797875889</v>
      </c>
      <c r="D18" s="3">
        <v>10.006600441501105</v>
      </c>
      <c r="E18" s="5">
        <v>35.724797645327442</v>
      </c>
      <c r="F18" s="4">
        <v>1.51</v>
      </c>
      <c r="G18" s="1" t="s">
        <v>13</v>
      </c>
      <c r="H18" s="9">
        <f>H14/H15</f>
        <v>2.6550667229493321</v>
      </c>
      <c r="I18" s="9">
        <f>I14/I15</f>
        <v>-2.8631272790200919</v>
      </c>
      <c r="J18" s="9">
        <f>J14/J15</f>
        <v>-0.76085498166485144</v>
      </c>
      <c r="K18" s="9"/>
      <c r="L18" s="9"/>
    </row>
    <row r="19" spans="1:12" x14ac:dyDescent="0.25">
      <c r="A19" s="2">
        <v>1998</v>
      </c>
      <c r="B19" s="3">
        <v>0.14716703458425312</v>
      </c>
      <c r="C19" s="4">
        <v>-0.82365610174918169</v>
      </c>
      <c r="D19" s="3">
        <v>8.4592831541218629</v>
      </c>
      <c r="E19" s="5">
        <v>36.630824372759854</v>
      </c>
      <c r="F19" s="4">
        <v>2.65</v>
      </c>
      <c r="G19" s="1" t="s">
        <v>15</v>
      </c>
      <c r="H19" s="9">
        <f>TDIST(ABS(H18),$I17,2)</f>
        <v>1.6115352598206543E-2</v>
      </c>
      <c r="I19" s="9">
        <f>TDIST(ABS(I18),$I17,2)</f>
        <v>1.0335510818626851E-2</v>
      </c>
      <c r="J19" s="9">
        <f>TDIST(ABS(J18),$I17,2)</f>
        <v>0.4565960163214724</v>
      </c>
      <c r="L19" s="9"/>
    </row>
    <row r="20" spans="1:12" x14ac:dyDescent="0.25">
      <c r="A20" s="2">
        <v>1999</v>
      </c>
      <c r="B20" s="3">
        <v>0.14336917562724014</v>
      </c>
      <c r="C20" s="4">
        <v>2.6385344941946665</v>
      </c>
      <c r="D20" s="3">
        <v>10.159001763668432</v>
      </c>
      <c r="E20" s="5">
        <v>38.236331569664905</v>
      </c>
      <c r="F20" s="4">
        <v>1.83</v>
      </c>
      <c r="G20" s="1"/>
      <c r="L20" s="9"/>
    </row>
    <row r="21" spans="1:12" x14ac:dyDescent="0.25">
      <c r="A21" s="2">
        <v>2000</v>
      </c>
      <c r="B21" s="3">
        <v>0.17636684303350969</v>
      </c>
      <c r="C21" s="4">
        <v>3.1996116489440674</v>
      </c>
      <c r="D21" s="3">
        <v>10.890747695459199</v>
      </c>
      <c r="E21" s="5">
        <v>40.491635370433592</v>
      </c>
      <c r="F21" s="4">
        <v>2.87</v>
      </c>
      <c r="G21" s="6" t="s">
        <v>19</v>
      </c>
      <c r="H21" s="9"/>
      <c r="I21" s="9"/>
      <c r="J21" s="9"/>
    </row>
    <row r="22" spans="1:12" x14ac:dyDescent="0.25">
      <c r="A22" s="2">
        <v>2001</v>
      </c>
      <c r="B22" s="3">
        <v>0.20484807101399793</v>
      </c>
      <c r="C22" s="4">
        <v>-2.0434796364820706</v>
      </c>
      <c r="D22" s="3">
        <v>9.5109839291571028</v>
      </c>
      <c r="E22" s="5">
        <v>41.685798622499185</v>
      </c>
      <c r="F22" s="4">
        <v>2.95</v>
      </c>
      <c r="G22" s="1" t="s">
        <v>20</v>
      </c>
      <c r="H22" s="9">
        <f>(H6-H16)/(1-H6)*I7/2</f>
        <v>3.2737656989213013</v>
      </c>
      <c r="I22" s="10" t="s">
        <v>21</v>
      </c>
    </row>
    <row r="23" spans="1:12" x14ac:dyDescent="0.25">
      <c r="A23" s="2">
        <v>2002</v>
      </c>
      <c r="B23" s="3">
        <v>0.45916693998032143</v>
      </c>
      <c r="C23" s="4">
        <v>8.6905365853658481</v>
      </c>
      <c r="D23" s="3">
        <v>8.7382088058705794</v>
      </c>
      <c r="E23" s="5">
        <v>44.229486324216147</v>
      </c>
      <c r="F23" s="4">
        <v>3.55</v>
      </c>
      <c r="G23" s="1" t="s">
        <v>15</v>
      </c>
      <c r="H23" s="9">
        <f>FDIST(H22,2,I7)</f>
        <v>6.4293616937141682E-2</v>
      </c>
      <c r="I23" s="10" t="s">
        <v>22</v>
      </c>
    </row>
    <row r="24" spans="1:12" x14ac:dyDescent="0.25">
      <c r="A24" s="2">
        <v>2003</v>
      </c>
      <c r="B24" s="3">
        <v>0.10006671114076052</v>
      </c>
      <c r="C24" s="4">
        <v>10.945015743800646</v>
      </c>
      <c r="D24" s="3">
        <v>8.116554379210779</v>
      </c>
      <c r="E24" s="5">
        <v>46.679499518768047</v>
      </c>
      <c r="F24" s="4">
        <v>2.27</v>
      </c>
      <c r="G24" s="6" t="s">
        <v>23</v>
      </c>
    </row>
    <row r="25" spans="1:12" x14ac:dyDescent="0.25">
      <c r="A25" s="2">
        <v>2004</v>
      </c>
      <c r="B25" s="3">
        <v>0</v>
      </c>
      <c r="C25" s="4">
        <v>9.5914961671545775</v>
      </c>
      <c r="D25" s="3">
        <v>10.264191176470588</v>
      </c>
      <c r="E25" s="5">
        <v>47.028186274509807</v>
      </c>
      <c r="F25" s="4">
        <v>1.89</v>
      </c>
      <c r="G25" s="1" t="s">
        <v>7</v>
      </c>
      <c r="H25" s="11">
        <f>TREND(B6:B26,C5:F25,C26:F26)</f>
        <v>0.1047768076403312</v>
      </c>
      <c r="I25" s="10" t="s">
        <v>24</v>
      </c>
    </row>
    <row r="26" spans="1:12" x14ac:dyDescent="0.25">
      <c r="A26" s="2">
        <v>2005</v>
      </c>
      <c r="B26" s="3">
        <v>3.0637254901960783E-2</v>
      </c>
      <c r="C26" s="4">
        <v>3.1834109969077984</v>
      </c>
      <c r="D26" s="5">
        <v>6.6737173852307432</v>
      </c>
      <c r="E26" s="5">
        <v>45.771122346593955</v>
      </c>
      <c r="F26" s="4">
        <v>1.91</v>
      </c>
      <c r="G26" s="1" t="s">
        <v>18</v>
      </c>
      <c r="H26" s="11">
        <f>TREND(B6:B26,C5:D25,C26:D26)</f>
        <v>6.0205959343091253E-2</v>
      </c>
      <c r="I26" s="10" t="s">
        <v>25</v>
      </c>
    </row>
    <row r="27" spans="1:12" x14ac:dyDescent="0.25">
      <c r="A27" s="12" t="s">
        <v>26</v>
      </c>
      <c r="G27" s="1"/>
    </row>
    <row r="28" spans="1:12" x14ac:dyDescent="0.25">
      <c r="A28" s="12" t="s">
        <v>27</v>
      </c>
      <c r="B28" s="3"/>
      <c r="C28" s="3"/>
      <c r="D28" s="3"/>
      <c r="E28" s="3"/>
      <c r="F28" s="3"/>
      <c r="G28" s="1"/>
      <c r="H28" s="9"/>
    </row>
    <row r="29" spans="1:12" x14ac:dyDescent="0.25">
      <c r="A29" s="12" t="s">
        <v>28</v>
      </c>
      <c r="G29" s="1"/>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8"/>
  <sheetViews>
    <sheetView workbookViewId="0">
      <selection activeCell="B11" sqref="B11"/>
    </sheetView>
  </sheetViews>
  <sheetFormatPr defaultRowHeight="15" x14ac:dyDescent="0.25"/>
  <cols>
    <col min="1" max="1" width="12.85546875" customWidth="1"/>
    <col min="2" max="2" width="11.140625" customWidth="1"/>
    <col min="3" max="3" width="8.140625" bestFit="1" customWidth="1"/>
    <col min="4" max="4" width="8.85546875" bestFit="1" customWidth="1"/>
    <col min="5" max="5" width="10.42578125" customWidth="1"/>
  </cols>
  <sheetData>
    <row r="1" spans="1:5" x14ac:dyDescent="0.25">
      <c r="A1" s="13" t="s">
        <v>29</v>
      </c>
    </row>
    <row r="2" spans="1:5" x14ac:dyDescent="0.25">
      <c r="B2" t="s">
        <v>30</v>
      </c>
      <c r="C2" t="s">
        <v>31</v>
      </c>
      <c r="D2" t="s">
        <v>30</v>
      </c>
      <c r="E2" t="s">
        <v>31</v>
      </c>
    </row>
    <row r="3" spans="1:5" x14ac:dyDescent="0.25">
      <c r="A3" t="s">
        <v>32</v>
      </c>
      <c r="B3">
        <v>2500</v>
      </c>
      <c r="C3">
        <f>B3</f>
        <v>2500</v>
      </c>
      <c r="D3">
        <v>20</v>
      </c>
      <c r="E3">
        <v>20</v>
      </c>
    </row>
    <row r="4" spans="1:5" x14ac:dyDescent="0.25">
      <c r="A4" t="s">
        <v>33</v>
      </c>
      <c r="B4" s="14">
        <v>1E-3</v>
      </c>
      <c r="C4" s="14">
        <f>B4</f>
        <v>1E-3</v>
      </c>
      <c r="D4" s="14">
        <v>0.4</v>
      </c>
      <c r="E4" s="14">
        <v>0.4</v>
      </c>
    </row>
    <row r="5" spans="1:5" x14ac:dyDescent="0.25">
      <c r="A5" s="13"/>
    </row>
    <row r="6" spans="1:5" x14ac:dyDescent="0.25">
      <c r="A6" t="s">
        <v>34</v>
      </c>
      <c r="B6" t="s">
        <v>35</v>
      </c>
    </row>
    <row r="7" spans="1:5" x14ac:dyDescent="0.25">
      <c r="A7">
        <v>0</v>
      </c>
      <c r="B7" s="15">
        <f t="shared" ref="B7:D26" si="0">BINOMDIST($A7,B$3,B$4,0)</f>
        <v>8.198238810784679E-2</v>
      </c>
      <c r="C7" s="15">
        <f t="shared" ref="C7:E26" si="1">POISSON($A7,C$4*C$3,0)</f>
        <v>8.20849986238988E-2</v>
      </c>
      <c r="D7" s="15">
        <f t="shared" si="0"/>
        <v>3.6561584400629767E-5</v>
      </c>
      <c r="E7" s="15">
        <f t="shared" si="1"/>
        <v>3.3546262790251185E-4</v>
      </c>
    </row>
    <row r="8" spans="1:5" x14ac:dyDescent="0.25">
      <c r="A8">
        <f t="shared" ref="A8:A27" si="2">A7+1</f>
        <v>1</v>
      </c>
      <c r="B8" s="15">
        <f t="shared" si="0"/>
        <v>0.20516113140101794</v>
      </c>
      <c r="C8" s="15">
        <f t="shared" si="1"/>
        <v>0.20521249655974699</v>
      </c>
      <c r="D8" s="15">
        <f t="shared" si="0"/>
        <v>4.8748779200839712E-4</v>
      </c>
      <c r="E8" s="15">
        <f t="shared" si="1"/>
        <v>2.683701023220094E-3</v>
      </c>
    </row>
    <row r="9" spans="1:5" x14ac:dyDescent="0.25">
      <c r="A9">
        <f t="shared" si="2"/>
        <v>2</v>
      </c>
      <c r="B9" s="15">
        <f t="shared" si="0"/>
        <v>0.25660543912469663</v>
      </c>
      <c r="C9" s="15">
        <f t="shared" si="1"/>
        <v>0.25651562069968376</v>
      </c>
      <c r="D9" s="15">
        <f t="shared" si="0"/>
        <v>3.0874226827198462E-3</v>
      </c>
      <c r="E9" s="15">
        <f t="shared" si="1"/>
        <v>1.0734804092880379E-2</v>
      </c>
    </row>
    <row r="10" spans="1:5" x14ac:dyDescent="0.25">
      <c r="A10">
        <f t="shared" si="2"/>
        <v>3</v>
      </c>
      <c r="B10" s="15">
        <f t="shared" si="0"/>
        <v>0.21388067632081817</v>
      </c>
      <c r="C10" s="15">
        <f t="shared" si="1"/>
        <v>0.21376301724973648</v>
      </c>
      <c r="D10" s="15">
        <f t="shared" si="0"/>
        <v>1.2349690730879388E-2</v>
      </c>
      <c r="E10" s="15">
        <f t="shared" si="1"/>
        <v>2.8626144247681014E-2</v>
      </c>
    </row>
    <row r="11" spans="1:5" x14ac:dyDescent="0.25">
      <c r="A11">
        <f t="shared" si="2"/>
        <v>4</v>
      </c>
      <c r="B11" s="15">
        <f t="shared" si="0"/>
        <v>0.13364866085412486</v>
      </c>
      <c r="C11" s="15">
        <f t="shared" si="1"/>
        <v>0.13360188578108526</v>
      </c>
      <c r="D11" s="15">
        <f t="shared" si="0"/>
        <v>3.4990790404158256E-2</v>
      </c>
      <c r="E11" s="15">
        <f t="shared" si="1"/>
        <v>5.7252288495362028E-2</v>
      </c>
    </row>
    <row r="12" spans="1:5" x14ac:dyDescent="0.25">
      <c r="A12">
        <f t="shared" si="2"/>
        <v>5</v>
      </c>
      <c r="B12" s="15">
        <f t="shared" si="0"/>
        <v>6.678419569407322E-2</v>
      </c>
      <c r="C12" s="15">
        <f t="shared" si="1"/>
        <v>6.6800942890542642E-2</v>
      </c>
      <c r="D12" s="15">
        <f t="shared" si="0"/>
        <v>7.464701952887097E-2</v>
      </c>
      <c r="E12" s="15">
        <f t="shared" si="1"/>
        <v>9.1603661592579252E-2</v>
      </c>
    </row>
    <row r="13" spans="1:5" x14ac:dyDescent="0.25">
      <c r="A13">
        <f t="shared" si="2"/>
        <v>6</v>
      </c>
      <c r="B13" s="15">
        <f t="shared" si="0"/>
        <v>2.7798893603055184E-2</v>
      </c>
      <c r="C13" s="15">
        <f t="shared" si="1"/>
        <v>2.783372620439278E-2</v>
      </c>
      <c r="D13" s="15">
        <f t="shared" si="0"/>
        <v>0.12441169921478495</v>
      </c>
      <c r="E13" s="15">
        <f t="shared" si="1"/>
        <v>0.12213821545677231</v>
      </c>
    </row>
    <row r="14" spans="1:5" x14ac:dyDescent="0.25">
      <c r="A14">
        <f t="shared" si="2"/>
        <v>7</v>
      </c>
      <c r="B14" s="15">
        <f t="shared" si="0"/>
        <v>9.9142629266437462E-3</v>
      </c>
      <c r="C14" s="15">
        <f t="shared" si="1"/>
        <v>9.9406165015688587E-3</v>
      </c>
      <c r="D14" s="15">
        <f t="shared" si="0"/>
        <v>0.16588226561971325</v>
      </c>
      <c r="E14" s="15">
        <f t="shared" si="1"/>
        <v>0.13958653195059695</v>
      </c>
    </row>
    <row r="15" spans="1:5" x14ac:dyDescent="0.25">
      <c r="A15">
        <f t="shared" si="2"/>
        <v>8</v>
      </c>
      <c r="B15" s="15">
        <f t="shared" si="0"/>
        <v>3.092624809324678E-3</v>
      </c>
      <c r="C15" s="15">
        <f t="shared" si="1"/>
        <v>3.1064426567402647E-3</v>
      </c>
      <c r="D15" s="15">
        <f t="shared" si="0"/>
        <v>0.17970578775468932</v>
      </c>
      <c r="E15" s="15">
        <f t="shared" si="1"/>
        <v>0.13958653195059695</v>
      </c>
    </row>
    <row r="16" spans="1:5" x14ac:dyDescent="0.25">
      <c r="A16">
        <f t="shared" si="2"/>
        <v>9</v>
      </c>
      <c r="B16" s="15">
        <f t="shared" si="0"/>
        <v>8.5717061782194473E-4</v>
      </c>
      <c r="C16" s="15">
        <f t="shared" si="1"/>
        <v>8.6290073798340724E-4</v>
      </c>
      <c r="D16" s="15">
        <f t="shared" si="0"/>
        <v>0.15973847800416824</v>
      </c>
      <c r="E16" s="15">
        <f t="shared" si="1"/>
        <v>0.12407691728941951</v>
      </c>
    </row>
    <row r="17" spans="1:5" x14ac:dyDescent="0.25">
      <c r="A17">
        <f t="shared" si="2"/>
        <v>10</v>
      </c>
      <c r="B17" s="15">
        <f t="shared" si="0"/>
        <v>2.1373493583528135E-4</v>
      </c>
      <c r="C17" s="15">
        <f t="shared" si="1"/>
        <v>2.1572518449585165E-4</v>
      </c>
      <c r="D17" s="15">
        <f t="shared" si="0"/>
        <v>0.11714155053639005</v>
      </c>
      <c r="E17" s="15">
        <f t="shared" si="1"/>
        <v>9.9261533831535603E-2</v>
      </c>
    </row>
    <row r="18" spans="1:5" x14ac:dyDescent="0.25">
      <c r="A18">
        <f t="shared" si="2"/>
        <v>11</v>
      </c>
      <c r="B18" s="15">
        <f t="shared" si="0"/>
        <v>4.8430247541163981E-5</v>
      </c>
      <c r="C18" s="15">
        <f t="shared" si="1"/>
        <v>4.902845102178448E-5</v>
      </c>
      <c r="D18" s="15">
        <f t="shared" si="0"/>
        <v>7.0994879112963649E-2</v>
      </c>
      <c r="E18" s="15">
        <f t="shared" si="1"/>
        <v>7.2190206422934985E-2</v>
      </c>
    </row>
    <row r="19" spans="1:5" x14ac:dyDescent="0.25">
      <c r="A19">
        <f t="shared" si="2"/>
        <v>12</v>
      </c>
      <c r="B19" s="15">
        <f t="shared" si="0"/>
        <v>1.0055295806636426E-5</v>
      </c>
      <c r="C19" s="15">
        <f t="shared" si="1"/>
        <v>1.0214260629538453E-5</v>
      </c>
      <c r="D19" s="15">
        <f t="shared" si="0"/>
        <v>3.5497439556481852E-2</v>
      </c>
      <c r="E19" s="15">
        <f t="shared" si="1"/>
        <v>4.8126804281956682E-2</v>
      </c>
    </row>
    <row r="20" spans="1:5" x14ac:dyDescent="0.25">
      <c r="A20">
        <f t="shared" si="2"/>
        <v>13</v>
      </c>
      <c r="B20" s="15">
        <f t="shared" si="0"/>
        <v>1.9263552758074506E-6</v>
      </c>
      <c r="C20" s="15">
        <f t="shared" si="1"/>
        <v>1.9642808902958537E-6</v>
      </c>
      <c r="D20" s="15">
        <f t="shared" si="0"/>
        <v>1.4563052125736118E-2</v>
      </c>
      <c r="E20" s="15">
        <f t="shared" si="1"/>
        <v>2.961649494274254E-2</v>
      </c>
    </row>
    <row r="21" spans="1:5" x14ac:dyDescent="0.25">
      <c r="A21">
        <f t="shared" si="2"/>
        <v>14</v>
      </c>
      <c r="B21" s="15">
        <f t="shared" si="0"/>
        <v>3.4254580086751946E-7</v>
      </c>
      <c r="C21" s="15">
        <f t="shared" si="1"/>
        <v>3.507644446956873E-7</v>
      </c>
      <c r="D21" s="15">
        <f t="shared" si="0"/>
        <v>4.8543507085787125E-3</v>
      </c>
      <c r="E21" s="15">
        <f t="shared" si="1"/>
        <v>1.6923711395852893E-2</v>
      </c>
    </row>
    <row r="22" spans="1:5" x14ac:dyDescent="0.25">
      <c r="A22">
        <f t="shared" si="2"/>
        <v>15</v>
      </c>
      <c r="B22" s="15">
        <f t="shared" si="0"/>
        <v>5.6828085482592722E-8</v>
      </c>
      <c r="C22" s="15">
        <f t="shared" si="1"/>
        <v>5.8460740782614688E-8</v>
      </c>
      <c r="D22" s="15">
        <f t="shared" si="0"/>
        <v>1.2944935222876587E-3</v>
      </c>
      <c r="E22" s="15">
        <f t="shared" si="1"/>
        <v>9.0259794111215482E-3</v>
      </c>
    </row>
    <row r="23" spans="1:5" x14ac:dyDescent="0.25">
      <c r="A23">
        <f t="shared" si="2"/>
        <v>16</v>
      </c>
      <c r="B23" s="15">
        <f t="shared" si="0"/>
        <v>8.8349469734886734E-9</v>
      </c>
      <c r="C23" s="15">
        <f t="shared" si="1"/>
        <v>9.1344907472835349E-9</v>
      </c>
      <c r="D23" s="15">
        <f t="shared" si="0"/>
        <v>2.6968615047659553E-4</v>
      </c>
      <c r="E23" s="15">
        <f t="shared" si="1"/>
        <v>4.5129897055607724E-3</v>
      </c>
    </row>
    <row r="24" spans="1:5" x14ac:dyDescent="0.25">
      <c r="A24">
        <f t="shared" si="2"/>
        <v>17</v>
      </c>
      <c r="B24" s="15">
        <f t="shared" si="0"/>
        <v>1.2922338975531902E-9</v>
      </c>
      <c r="C24" s="15">
        <f t="shared" si="1"/>
        <v>1.343307462835813E-9</v>
      </c>
      <c r="D24" s="15">
        <f t="shared" si="0"/>
        <v>4.2303709878681491E-5</v>
      </c>
      <c r="E24" s="15">
        <f t="shared" si="1"/>
        <v>2.1237598614403594E-3</v>
      </c>
    </row>
    <row r="25" spans="1:5" x14ac:dyDescent="0.25">
      <c r="A25">
        <f t="shared" si="2"/>
        <v>18</v>
      </c>
      <c r="B25" s="15">
        <f t="shared" si="0"/>
        <v>1.7843492201226635E-10</v>
      </c>
      <c r="C25" s="15">
        <f t="shared" si="1"/>
        <v>1.8657048094941798E-10</v>
      </c>
      <c r="D25" s="15">
        <f t="shared" si="0"/>
        <v>4.7004122087423991E-6</v>
      </c>
      <c r="E25" s="15">
        <f t="shared" si="1"/>
        <v>9.4389327175127167E-4</v>
      </c>
    </row>
    <row r="26" spans="1:5" x14ac:dyDescent="0.25">
      <c r="A26">
        <f t="shared" si="2"/>
        <v>19</v>
      </c>
      <c r="B26" s="15">
        <f t="shared" si="0"/>
        <v>2.3332568169982951E-11</v>
      </c>
      <c r="C26" s="15">
        <f t="shared" si="1"/>
        <v>2.4548747493344598E-11</v>
      </c>
      <c r="D26" s="15">
        <f t="shared" si="0"/>
        <v>3.2985348833280063E-7</v>
      </c>
      <c r="E26" s="15">
        <f t="shared" si="1"/>
        <v>3.9742874600053648E-4</v>
      </c>
    </row>
    <row r="27" spans="1:5" x14ac:dyDescent="0.25">
      <c r="A27">
        <f t="shared" si="2"/>
        <v>20</v>
      </c>
      <c r="B27" s="15">
        <f>BINOMDIST($A27,B$3,B$4,0)</f>
        <v>2.8973023838702603E-12</v>
      </c>
      <c r="C27" s="15">
        <f>POISSON($A27,C$4*C$3,0)</f>
        <v>3.0685934366680759E-12</v>
      </c>
      <c r="D27" s="15">
        <f>BINOMDIST($A27,D$3,D$4,0)</f>
        <v>1.0995116277760029E-8</v>
      </c>
      <c r="E27" s="15">
        <f>POISSON($A27,E$4*E$3,0)</f>
        <v>1.589714984002141E-4</v>
      </c>
    </row>
    <row r="28" spans="1:5" x14ac:dyDescent="0.25">
      <c r="B28" s="16" t="s">
        <v>36</v>
      </c>
      <c r="C28" s="17"/>
      <c r="D28" s="17"/>
      <c r="E28" s="16" t="s">
        <v>37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29"/>
  <sheetViews>
    <sheetView workbookViewId="0">
      <selection activeCell="B2" sqref="B2"/>
    </sheetView>
  </sheetViews>
  <sheetFormatPr defaultRowHeight="15" x14ac:dyDescent="0.25"/>
  <cols>
    <col min="2" max="2" width="3.85546875" customWidth="1"/>
  </cols>
  <sheetData>
    <row r="1" spans="1:15" x14ac:dyDescent="0.25">
      <c r="A1" t="s">
        <v>0</v>
      </c>
      <c r="B1" t="s">
        <v>38</v>
      </c>
      <c r="C1" t="s">
        <v>39</v>
      </c>
      <c r="D1" t="s">
        <v>2</v>
      </c>
      <c r="E1" t="s">
        <v>3</v>
      </c>
      <c r="F1" t="s">
        <v>4</v>
      </c>
      <c r="G1" t="s">
        <v>5</v>
      </c>
    </row>
    <row r="2" spans="1:15" x14ac:dyDescent="0.25">
      <c r="A2">
        <v>1981</v>
      </c>
      <c r="B2">
        <v>0</v>
      </c>
      <c r="C2" s="4">
        <v>7.0021559544036212</v>
      </c>
      <c r="D2" s="4">
        <v>-7.3402554111579139</v>
      </c>
      <c r="E2" s="4" t="s">
        <v>6</v>
      </c>
      <c r="F2" s="4">
        <v>27.024567788899002</v>
      </c>
      <c r="G2" s="4">
        <v>2.77</v>
      </c>
      <c r="I2" s="6"/>
      <c r="J2" s="10" t="s">
        <v>42</v>
      </c>
    </row>
    <row r="3" spans="1:15" x14ac:dyDescent="0.25">
      <c r="A3">
        <v>1982</v>
      </c>
      <c r="B3">
        <v>2</v>
      </c>
      <c r="C3" s="4">
        <v>7.0228680860826413</v>
      </c>
      <c r="D3" s="4">
        <v>5.5275205311899445</v>
      </c>
      <c r="E3" s="4" t="s">
        <v>6</v>
      </c>
      <c r="F3" s="4">
        <v>27.807486631016044</v>
      </c>
      <c r="G3" s="4">
        <v>3.68</v>
      </c>
      <c r="I3" s="6" t="s">
        <v>7</v>
      </c>
      <c r="J3" t="s">
        <v>8</v>
      </c>
      <c r="K3" t="s">
        <v>39</v>
      </c>
      <c r="L3" t="s">
        <v>2</v>
      </c>
      <c r="M3" t="s">
        <v>3</v>
      </c>
      <c r="N3" t="s">
        <v>4</v>
      </c>
      <c r="O3" t="s">
        <v>5</v>
      </c>
    </row>
    <row r="4" spans="1:15" x14ac:dyDescent="0.25">
      <c r="A4">
        <v>1983</v>
      </c>
      <c r="B4">
        <v>1</v>
      </c>
      <c r="C4" s="4">
        <v>7.0741168161973622</v>
      </c>
      <c r="D4" s="4">
        <v>18.501396900689393</v>
      </c>
      <c r="E4" s="4" t="s">
        <v>6</v>
      </c>
      <c r="F4" s="4">
        <v>25.740897544453851</v>
      </c>
      <c r="G4" s="4">
        <v>2</v>
      </c>
      <c r="I4" s="1" t="s">
        <v>9</v>
      </c>
      <c r="J4" s="25">
        <f t="array" ref="J4:O8">poireg(B6:B26,C5:G25)</f>
        <v>-14.096811699293017</v>
      </c>
      <c r="K4" s="25">
        <v>1.4590836531623221</v>
      </c>
      <c r="L4" s="25">
        <v>-0.18083904534388232</v>
      </c>
      <c r="M4" s="25">
        <v>0.29751953979944257</v>
      </c>
      <c r="N4" s="25">
        <v>1.2714294218809074E-2</v>
      </c>
      <c r="O4" s="26">
        <v>0.417054918620343</v>
      </c>
    </row>
    <row r="5" spans="1:15" x14ac:dyDescent="0.25">
      <c r="A5">
        <v>1984</v>
      </c>
      <c r="B5">
        <v>2</v>
      </c>
      <c r="C5" s="4">
        <v>7.1033220625261126</v>
      </c>
      <c r="D5" s="4">
        <v>-0.12901884833796951</v>
      </c>
      <c r="E5" s="4">
        <v>3.618667763157895</v>
      </c>
      <c r="F5" s="4">
        <v>23.273026315789476</v>
      </c>
      <c r="G5" s="4">
        <v>1.84</v>
      </c>
      <c r="I5" s="1" t="s">
        <v>10</v>
      </c>
      <c r="J5" s="25">
        <v>11.885633876860012</v>
      </c>
      <c r="K5" s="25">
        <v>1.8041426238922897</v>
      </c>
      <c r="L5" s="25">
        <v>4.5585805860249989E-2</v>
      </c>
      <c r="M5" s="25">
        <v>0.10867277501616483</v>
      </c>
      <c r="N5" s="25">
        <v>8.53902336335398E-2</v>
      </c>
      <c r="O5" s="26">
        <v>0.35647854582119803</v>
      </c>
    </row>
    <row r="6" spans="1:15" x14ac:dyDescent="0.25">
      <c r="A6">
        <v>1985</v>
      </c>
      <c r="B6">
        <v>0</v>
      </c>
      <c r="C6" s="4">
        <v>7.1981835771019433</v>
      </c>
      <c r="D6" s="4">
        <v>4.2559026949677836</v>
      </c>
      <c r="E6" s="4">
        <v>6.282296185489904</v>
      </c>
      <c r="F6" s="4">
        <v>22.587883320867615</v>
      </c>
      <c r="G6" s="4">
        <v>2.36</v>
      </c>
      <c r="I6" s="1" t="s">
        <v>13</v>
      </c>
      <c r="J6" s="25">
        <v>-1.1860378542147354</v>
      </c>
      <c r="K6" s="25">
        <v>0.80874074690085684</v>
      </c>
      <c r="L6" s="28">
        <v>-3.9670033671944087</v>
      </c>
      <c r="M6" s="28">
        <v>2.7377559812490957</v>
      </c>
      <c r="N6" s="25">
        <v>0.148896351231145</v>
      </c>
      <c r="O6" s="25">
        <v>1.1699299256834625</v>
      </c>
    </row>
    <row r="7" spans="1:15" x14ac:dyDescent="0.25">
      <c r="A7">
        <v>1986</v>
      </c>
      <c r="B7">
        <v>2</v>
      </c>
      <c r="C7" s="4">
        <v>7.1959372264755688</v>
      </c>
      <c r="D7" s="4">
        <v>3.0575539568345134</v>
      </c>
      <c r="E7" s="4">
        <v>8.3958170914542727</v>
      </c>
      <c r="F7" s="4">
        <v>24.212893553223388</v>
      </c>
      <c r="G7" s="4">
        <v>2.75</v>
      </c>
      <c r="I7" s="1" t="s">
        <v>15</v>
      </c>
      <c r="J7" s="26">
        <v>0.23560735073147776</v>
      </c>
      <c r="K7" s="26">
        <v>0.41866428513135556</v>
      </c>
      <c r="L7" s="26">
        <v>7.2781964636448038E-5</v>
      </c>
      <c r="M7" s="26">
        <v>6.1859956913299374E-3</v>
      </c>
      <c r="N7" s="26">
        <v>0.88163542041627263</v>
      </c>
      <c r="O7" s="26">
        <v>0.24202916980102329</v>
      </c>
    </row>
    <row r="8" spans="1:15" x14ac:dyDescent="0.25">
      <c r="A8">
        <v>1987</v>
      </c>
      <c r="B8">
        <v>0</v>
      </c>
      <c r="C8" s="4">
        <v>7.2071188562077557</v>
      </c>
      <c r="D8" s="4">
        <v>-0.93099029837085956</v>
      </c>
      <c r="E8" s="4">
        <v>5.4116234247590818</v>
      </c>
      <c r="F8" s="4">
        <v>24.610822831727205</v>
      </c>
      <c r="G8" s="4">
        <v>2.4500000000000002</v>
      </c>
      <c r="I8" s="1" t="s">
        <v>43</v>
      </c>
      <c r="J8" s="26">
        <v>0.49342342566049857</v>
      </c>
      <c r="K8" s="26">
        <v>-28.315174153096979</v>
      </c>
      <c r="L8" s="27" t="str">
        <v>#NA</v>
      </c>
      <c r="M8" s="27" t="str">
        <v>#NA</v>
      </c>
      <c r="N8" s="27" t="str">
        <v>#NA</v>
      </c>
      <c r="O8" s="27" t="str">
        <v>#NA</v>
      </c>
    </row>
    <row r="9" spans="1:15" x14ac:dyDescent="0.25">
      <c r="A9">
        <v>1988</v>
      </c>
      <c r="B9">
        <v>0</v>
      </c>
      <c r="C9" s="4">
        <v>7.2442275156033498</v>
      </c>
      <c r="D9" s="4">
        <v>3.171909672366513</v>
      </c>
      <c r="E9" s="4">
        <v>13.143535714285715</v>
      </c>
      <c r="F9" s="4">
        <v>23.857142857142858</v>
      </c>
      <c r="G9" s="4">
        <v>1.5</v>
      </c>
      <c r="I9" s="1"/>
      <c r="J9" s="3"/>
      <c r="K9" s="3"/>
      <c r="L9" s="3"/>
      <c r="M9" s="3"/>
      <c r="N9" s="3"/>
    </row>
    <row r="10" spans="1:15" x14ac:dyDescent="0.25">
      <c r="A10">
        <v>1989</v>
      </c>
      <c r="B10">
        <v>2</v>
      </c>
      <c r="C10" s="4">
        <v>7.2772477266314839</v>
      </c>
      <c r="D10" s="4">
        <v>-4.2101400180668325</v>
      </c>
      <c r="E10" s="4">
        <v>7.8089426399447133</v>
      </c>
      <c r="F10" s="4">
        <v>24.187975120939875</v>
      </c>
      <c r="G10" s="4">
        <v>1.92</v>
      </c>
      <c r="I10" s="1"/>
      <c r="J10" s="10" t="s">
        <v>44</v>
      </c>
    </row>
    <row r="11" spans="1:15" x14ac:dyDescent="0.25">
      <c r="A11">
        <v>1990</v>
      </c>
      <c r="B11">
        <v>2</v>
      </c>
      <c r="C11" s="4">
        <v>7.3105501585344221</v>
      </c>
      <c r="D11" s="4">
        <v>-4.5985579860686858</v>
      </c>
      <c r="E11" s="4">
        <v>7.5534090909090912</v>
      </c>
      <c r="F11" s="4">
        <v>24.532085561497325</v>
      </c>
      <c r="G11" s="4">
        <v>2.39</v>
      </c>
      <c r="I11" s="6" t="s">
        <v>18</v>
      </c>
      <c r="J11" t="s">
        <v>8</v>
      </c>
      <c r="K11" t="s">
        <v>39</v>
      </c>
      <c r="L11" t="s">
        <v>2</v>
      </c>
      <c r="M11" t="s">
        <v>3</v>
      </c>
      <c r="N11" s="9"/>
    </row>
    <row r="12" spans="1:15" x14ac:dyDescent="0.25">
      <c r="A12">
        <v>1991</v>
      </c>
      <c r="B12">
        <v>3</v>
      </c>
      <c r="C12" s="4">
        <v>7.415175109613295</v>
      </c>
      <c r="D12" s="4">
        <v>7.2237652981512301</v>
      </c>
      <c r="E12" s="4">
        <v>7.705984346779049</v>
      </c>
      <c r="F12" s="4">
        <v>23.660445514750151</v>
      </c>
      <c r="G12" s="4">
        <v>2.4300000000000002</v>
      </c>
      <c r="I12" s="1" t="s">
        <v>9</v>
      </c>
      <c r="J12" s="18">
        <f t="array" ref="J12:M16">poireg(B6:B26,C5:E25)</f>
        <v>-18.24335484393804</v>
      </c>
      <c r="K12" s="18">
        <v>2.1831065879689424</v>
      </c>
      <c r="L12" s="18">
        <v>-0.19905596242675241</v>
      </c>
      <c r="M12" s="18">
        <v>0.29114667099069041</v>
      </c>
      <c r="N12" s="9"/>
    </row>
    <row r="13" spans="1:15" x14ac:dyDescent="0.25">
      <c r="A13">
        <v>1992</v>
      </c>
      <c r="B13">
        <v>0</v>
      </c>
      <c r="C13" s="4">
        <v>7.508238774678663</v>
      </c>
      <c r="D13" s="4">
        <v>8.2321782132248611</v>
      </c>
      <c r="E13" s="4">
        <v>5.431102578167855</v>
      </c>
      <c r="F13" s="4">
        <v>25.507405375754249</v>
      </c>
      <c r="G13" s="4">
        <v>2.0499999999999998</v>
      </c>
      <c r="I13" s="1" t="s">
        <v>10</v>
      </c>
      <c r="J13" s="18">
        <v>4.2142591784831334</v>
      </c>
      <c r="K13" s="18">
        <v>0.5480076479358218</v>
      </c>
      <c r="L13" s="18">
        <v>4.3409088424719487E-2</v>
      </c>
      <c r="M13" s="18">
        <v>0.1051299163832716</v>
      </c>
      <c r="N13" s="9"/>
    </row>
    <row r="14" spans="1:15" x14ac:dyDescent="0.25">
      <c r="A14">
        <v>1993</v>
      </c>
      <c r="B14">
        <v>0</v>
      </c>
      <c r="C14" s="4">
        <v>7.5579949585308057</v>
      </c>
      <c r="D14" s="4">
        <v>5.904068190820877</v>
      </c>
      <c r="E14" s="4">
        <v>5.3239039665970775</v>
      </c>
      <c r="F14" s="4">
        <v>26.409185803757829</v>
      </c>
      <c r="G14" s="4">
        <v>1.94</v>
      </c>
      <c r="I14" s="1" t="s">
        <v>13</v>
      </c>
      <c r="J14" s="18">
        <v>-4.3289589157410324</v>
      </c>
      <c r="K14" s="18">
        <v>3.9837155488468841</v>
      </c>
      <c r="L14" s="7">
        <v>-4.5855826429517732</v>
      </c>
      <c r="M14" s="7">
        <v>2.7693988638710461</v>
      </c>
      <c r="N14" s="9"/>
    </row>
    <row r="15" spans="1:15" x14ac:dyDescent="0.25">
      <c r="A15">
        <v>1994</v>
      </c>
      <c r="B15">
        <v>1</v>
      </c>
      <c r="C15" s="4">
        <v>7.6704285221906927</v>
      </c>
      <c r="D15" s="4">
        <v>3.7288891927781842</v>
      </c>
      <c r="E15" s="4">
        <v>9.2346128731343278</v>
      </c>
      <c r="F15" s="4">
        <v>27.565298507462689</v>
      </c>
      <c r="G15" s="4">
        <v>1.27</v>
      </c>
      <c r="I15" s="1" t="s">
        <v>15</v>
      </c>
      <c r="J15" s="18">
        <v>1.4981587604712132E-5</v>
      </c>
      <c r="K15" s="18">
        <v>6.7846076245325904E-5</v>
      </c>
      <c r="L15" s="18">
        <v>4.5272215256630943E-6</v>
      </c>
      <c r="M15" s="18">
        <v>5.6159836773237437E-3</v>
      </c>
      <c r="N15" s="9"/>
    </row>
    <row r="16" spans="1:15" x14ac:dyDescent="0.25">
      <c r="A16">
        <v>1995</v>
      </c>
      <c r="B16">
        <v>1</v>
      </c>
      <c r="C16" s="4">
        <v>7.7561953439481179</v>
      </c>
      <c r="D16" s="4">
        <v>2.1998172640539382</v>
      </c>
      <c r="E16" s="4">
        <v>7.7485102739726033</v>
      </c>
      <c r="F16" s="4">
        <v>29.88013698630137</v>
      </c>
      <c r="G16" s="4">
        <v>1.79</v>
      </c>
      <c r="I16" s="1" t="s">
        <v>43</v>
      </c>
      <c r="J16" s="18">
        <v>0.46732346784909712</v>
      </c>
      <c r="K16" s="18">
        <v>-29.774035237982105</v>
      </c>
      <c r="L16" s="19" t="str">
        <v>#NA</v>
      </c>
      <c r="M16" s="19" t="str">
        <v>#NA</v>
      </c>
      <c r="N16" s="9"/>
    </row>
    <row r="17" spans="1:14" x14ac:dyDescent="0.25">
      <c r="A17">
        <v>1996</v>
      </c>
      <c r="B17">
        <v>0</v>
      </c>
      <c r="C17" s="4">
        <v>7.844240718141811</v>
      </c>
      <c r="D17" s="4">
        <v>0.13230886600186231</v>
      </c>
      <c r="E17" s="4">
        <v>7.7230497843982739</v>
      </c>
      <c r="F17" s="4">
        <v>31.948255586044688</v>
      </c>
      <c r="G17" s="4">
        <v>1.48</v>
      </c>
      <c r="I17" s="1"/>
      <c r="N17" s="9"/>
    </row>
    <row r="18" spans="1:14" x14ac:dyDescent="0.25">
      <c r="A18">
        <v>1997</v>
      </c>
      <c r="B18">
        <v>2</v>
      </c>
      <c r="C18" s="4">
        <v>7.9076515947110888</v>
      </c>
      <c r="D18" s="4">
        <v>2.13788797875889</v>
      </c>
      <c r="E18" s="4">
        <v>10.006600441501105</v>
      </c>
      <c r="F18" s="4">
        <v>35.724797645327442</v>
      </c>
      <c r="G18" s="4">
        <v>1.51</v>
      </c>
      <c r="I18" s="6" t="s">
        <v>45</v>
      </c>
      <c r="J18" s="9"/>
      <c r="K18" s="9"/>
      <c r="M18" s="9"/>
      <c r="N18" s="9"/>
    </row>
    <row r="19" spans="1:14" x14ac:dyDescent="0.25">
      <c r="A19">
        <v>1998</v>
      </c>
      <c r="B19">
        <v>4</v>
      </c>
      <c r="C19" s="4">
        <v>7.9337968748154113</v>
      </c>
      <c r="D19" s="4">
        <v>-0.82365610174918169</v>
      </c>
      <c r="E19" s="4">
        <v>8.4592831541218629</v>
      </c>
      <c r="F19" s="4">
        <v>36.630824372759854</v>
      </c>
      <c r="G19" s="4">
        <v>2.65</v>
      </c>
      <c r="I19" s="1" t="s">
        <v>46</v>
      </c>
      <c r="J19" s="9">
        <f>2*(K8-K16)</f>
        <v>2.9177221697702507</v>
      </c>
      <c r="K19" s="10" t="s">
        <v>47</v>
      </c>
      <c r="L19" s="3"/>
      <c r="N19" s="9"/>
    </row>
    <row r="20" spans="1:14" x14ac:dyDescent="0.25">
      <c r="A20">
        <v>1999</v>
      </c>
      <c r="B20">
        <v>4</v>
      </c>
      <c r="C20" s="4">
        <v>7.9497972161618522</v>
      </c>
      <c r="D20" s="4">
        <v>2.6385344941946665</v>
      </c>
      <c r="E20" s="4">
        <v>10.159001763668432</v>
      </c>
      <c r="F20" s="4">
        <v>38.236331569664905</v>
      </c>
      <c r="G20" s="4">
        <v>1.83</v>
      </c>
      <c r="I20" s="1" t="s">
        <v>15</v>
      </c>
      <c r="J20" s="9">
        <f>CHIDIST(J19,2)</f>
        <v>0.23250092281051352</v>
      </c>
      <c r="K20" s="10" t="s">
        <v>48</v>
      </c>
      <c r="N20" s="9"/>
    </row>
    <row r="21" spans="1:14" x14ac:dyDescent="0.25">
      <c r="A21">
        <v>2000</v>
      </c>
      <c r="B21">
        <v>5</v>
      </c>
      <c r="C21" s="4">
        <v>7.9824163468277334</v>
      </c>
      <c r="D21" s="4">
        <v>3.1996116489440674</v>
      </c>
      <c r="E21" s="4">
        <v>10.890747695459199</v>
      </c>
      <c r="F21" s="4">
        <v>40.491635370433592</v>
      </c>
      <c r="G21" s="4">
        <v>2.87</v>
      </c>
      <c r="I21" s="1"/>
      <c r="L21" s="9"/>
    </row>
    <row r="22" spans="1:14" x14ac:dyDescent="0.25">
      <c r="A22">
        <v>2001</v>
      </c>
      <c r="B22">
        <v>6</v>
      </c>
      <c r="C22" s="4">
        <v>8.0225689469882546</v>
      </c>
      <c r="D22" s="4">
        <v>-2.0434796364820706</v>
      </c>
      <c r="E22" s="4">
        <v>9.5109839291571028</v>
      </c>
      <c r="F22" s="4">
        <v>41.685798622499185</v>
      </c>
      <c r="G22" s="4">
        <v>2.95</v>
      </c>
      <c r="I22" s="6" t="s">
        <v>23</v>
      </c>
      <c r="K22" s="3"/>
    </row>
    <row r="23" spans="1:14" x14ac:dyDescent="0.25">
      <c r="A23">
        <v>2002</v>
      </c>
      <c r="B23">
        <v>14</v>
      </c>
      <c r="C23" s="4">
        <v>8.0057006786625422</v>
      </c>
      <c r="D23" s="4">
        <v>8.6905365853658481</v>
      </c>
      <c r="E23" s="4">
        <v>8.7382088058705794</v>
      </c>
      <c r="F23" s="4">
        <v>44.229486324216147</v>
      </c>
      <c r="G23" s="4">
        <v>3.55</v>
      </c>
      <c r="I23" s="1" t="s">
        <v>7</v>
      </c>
      <c r="J23" s="15">
        <f>EXP(J4+SUMPRODUCT(K4:O4,C26:G26)-C26)</f>
        <v>5.0679118881243219E-4</v>
      </c>
      <c r="K23" s="10" t="s">
        <v>49</v>
      </c>
    </row>
    <row r="24" spans="1:14" x14ac:dyDescent="0.25">
      <c r="A24">
        <v>2003</v>
      </c>
      <c r="B24">
        <v>3</v>
      </c>
      <c r="C24" s="4">
        <v>8.0446262797673374</v>
      </c>
      <c r="D24" s="4">
        <v>10.945015743800646</v>
      </c>
      <c r="E24" s="4">
        <v>8.116554379210779</v>
      </c>
      <c r="F24" s="4">
        <v>46.679499518768047</v>
      </c>
      <c r="G24" s="4">
        <v>2.27</v>
      </c>
      <c r="I24" s="1" t="s">
        <v>18</v>
      </c>
      <c r="J24" s="15">
        <f>EXP(J12+SUMPRODUCT(K12:M12,C26:E26)-C26)</f>
        <v>6.4607741613962309E-4</v>
      </c>
      <c r="K24" s="9"/>
    </row>
    <row r="25" spans="1:14" x14ac:dyDescent="0.25">
      <c r="A25">
        <v>2004</v>
      </c>
      <c r="B25">
        <v>0</v>
      </c>
      <c r="C25" s="4">
        <v>8.0907087160839968</v>
      </c>
      <c r="D25" s="4">
        <v>9.5914961671545775</v>
      </c>
      <c r="E25" s="4">
        <v>10.264191176470588</v>
      </c>
      <c r="F25" s="4">
        <v>47.028186274509807</v>
      </c>
      <c r="G25" s="4">
        <v>1.89</v>
      </c>
      <c r="I25" s="20" t="s">
        <v>50</v>
      </c>
      <c r="J25" s="3"/>
    </row>
    <row r="26" spans="1:14" x14ac:dyDescent="0.25">
      <c r="A26">
        <v>2005</v>
      </c>
      <c r="B26">
        <v>1</v>
      </c>
      <c r="C26" s="4">
        <v>8.1052798279237859</v>
      </c>
      <c r="D26" s="4">
        <v>3.1834109969077984</v>
      </c>
      <c r="E26" s="4">
        <v>6.6737173852307432</v>
      </c>
      <c r="F26" s="4">
        <v>45.771122346593955</v>
      </c>
      <c r="G26" s="4">
        <v>1.91</v>
      </c>
      <c r="I26" s="1" t="s">
        <v>7</v>
      </c>
      <c r="J26" s="15">
        <f>poitrend(B6:B26,C5:G25,C26:G26)/EXP(C26)</f>
        <v>5.0679118881243154E-4</v>
      </c>
      <c r="K26" s="16" t="s">
        <v>51</v>
      </c>
    </row>
    <row r="27" spans="1:14" x14ac:dyDescent="0.25">
      <c r="I27" s="1" t="s">
        <v>18</v>
      </c>
      <c r="J27" s="15">
        <f>poitrend(B6:B26,C5:E25,C26:E26)/EXP(C26)</f>
        <v>6.4607741613962298E-4</v>
      </c>
    </row>
    <row r="28" spans="1:14" x14ac:dyDescent="0.25">
      <c r="A28" t="s">
        <v>40</v>
      </c>
    </row>
    <row r="29" spans="1:14" x14ac:dyDescent="0.25">
      <c r="A29" t="s">
        <v>41</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40"/>
  <sheetViews>
    <sheetView topLeftCell="F1" workbookViewId="0">
      <selection activeCell="R58" sqref="R58"/>
    </sheetView>
  </sheetViews>
  <sheetFormatPr defaultRowHeight="15" x14ac:dyDescent="0.25"/>
  <cols>
    <col min="10" max="10" width="10" customWidth="1"/>
    <col min="11" max="11" width="10.5703125" customWidth="1"/>
    <col min="12" max="12" width="11" customWidth="1"/>
    <col min="13" max="14" width="11.28515625" bestFit="1" customWidth="1"/>
  </cols>
  <sheetData>
    <row r="1" spans="1:14" x14ac:dyDescent="0.25">
      <c r="A1" s="29" t="s">
        <v>0</v>
      </c>
      <c r="B1" s="29" t="s">
        <v>1</v>
      </c>
      <c r="C1" s="29" t="s">
        <v>52</v>
      </c>
      <c r="D1" s="29" t="s">
        <v>53</v>
      </c>
      <c r="E1" s="29" t="s">
        <v>54</v>
      </c>
      <c r="F1" s="29" t="s">
        <v>3</v>
      </c>
      <c r="G1" s="29" t="s">
        <v>4</v>
      </c>
      <c r="H1" s="29" t="s">
        <v>55</v>
      </c>
    </row>
    <row r="2" spans="1:14" x14ac:dyDescent="0.25">
      <c r="A2">
        <v>1981</v>
      </c>
      <c r="B2" s="4">
        <v>0</v>
      </c>
      <c r="C2" s="2">
        <v>0</v>
      </c>
      <c r="D2" s="4">
        <v>7.0021559544036212</v>
      </c>
      <c r="E2" s="4">
        <v>-7.3402554111579139</v>
      </c>
      <c r="F2" s="4" t="s">
        <v>6</v>
      </c>
      <c r="G2" s="4">
        <v>27.024567788899002</v>
      </c>
      <c r="H2" s="4">
        <v>2.77</v>
      </c>
    </row>
    <row r="3" spans="1:14" x14ac:dyDescent="0.25">
      <c r="A3">
        <v>1982</v>
      </c>
      <c r="B3" s="4">
        <v>0.18198362147406735</v>
      </c>
      <c r="C3" s="2">
        <v>2</v>
      </c>
      <c r="D3" s="4">
        <v>7.0228680860826413</v>
      </c>
      <c r="E3" s="4">
        <v>5.5275205311899445</v>
      </c>
      <c r="F3" s="4" t="s">
        <v>6</v>
      </c>
      <c r="G3" s="4">
        <v>27.807486631016044</v>
      </c>
      <c r="H3" s="4">
        <v>3.68</v>
      </c>
    </row>
    <row r="4" spans="1:14" x14ac:dyDescent="0.25">
      <c r="A4">
        <v>1983</v>
      </c>
      <c r="B4" s="4">
        <v>8.9126559714795009E-2</v>
      </c>
      <c r="C4" s="2">
        <v>1</v>
      </c>
      <c r="D4" s="4">
        <v>7.0741168161973622</v>
      </c>
      <c r="E4" s="4">
        <v>18.501396900689393</v>
      </c>
      <c r="F4" s="4" t="s">
        <v>6</v>
      </c>
      <c r="G4" s="4">
        <v>25.740897544453851</v>
      </c>
      <c r="H4" s="4">
        <v>2</v>
      </c>
    </row>
    <row r="5" spans="1:14" x14ac:dyDescent="0.25">
      <c r="A5">
        <v>1984</v>
      </c>
      <c r="B5" s="4">
        <v>0.16934801016088061</v>
      </c>
      <c r="C5" s="2">
        <v>2</v>
      </c>
      <c r="D5" s="4">
        <v>7.1033220625261126</v>
      </c>
      <c r="E5" s="4">
        <v>-0.12901884833796951</v>
      </c>
      <c r="F5" s="4">
        <v>3.618667763157895</v>
      </c>
      <c r="G5" s="4">
        <v>23.273026315789476</v>
      </c>
      <c r="H5" s="4">
        <v>1.84</v>
      </c>
    </row>
    <row r="6" spans="1:14" x14ac:dyDescent="0.25">
      <c r="A6">
        <v>1985</v>
      </c>
      <c r="B6" s="4">
        <v>0</v>
      </c>
      <c r="C6" s="2">
        <v>0</v>
      </c>
      <c r="D6" s="4">
        <v>7.1981835771019433</v>
      </c>
      <c r="E6" s="4">
        <v>4.2559026949677836</v>
      </c>
      <c r="F6" s="4">
        <v>6.282296185489904</v>
      </c>
      <c r="G6" s="4">
        <v>22.587883320867615</v>
      </c>
      <c r="H6" s="4">
        <v>2.36</v>
      </c>
    </row>
    <row r="7" spans="1:14" x14ac:dyDescent="0.25">
      <c r="A7">
        <v>1986</v>
      </c>
      <c r="B7" s="4">
        <v>0.14958863126402394</v>
      </c>
      <c r="C7" s="2">
        <v>2</v>
      </c>
      <c r="D7" s="4">
        <v>7.1959372264755688</v>
      </c>
      <c r="E7" s="4">
        <v>3.0575539568345134</v>
      </c>
      <c r="F7" s="4">
        <v>8.3958170914542727</v>
      </c>
      <c r="G7" s="4">
        <v>24.212893553223388</v>
      </c>
      <c r="H7" s="4">
        <v>2.75</v>
      </c>
    </row>
    <row r="8" spans="1:14" x14ac:dyDescent="0.25">
      <c r="A8">
        <v>1987</v>
      </c>
      <c r="B8" s="4">
        <v>0</v>
      </c>
      <c r="C8" s="2">
        <v>0</v>
      </c>
      <c r="D8" s="4">
        <v>7.2071188562077557</v>
      </c>
      <c r="E8" s="4">
        <v>-0.93099029837085956</v>
      </c>
      <c r="F8" s="4">
        <v>5.4116234247590818</v>
      </c>
      <c r="G8" s="4">
        <v>24.610822831727205</v>
      </c>
      <c r="H8" s="4">
        <v>2.4500000000000002</v>
      </c>
    </row>
    <row r="9" spans="1:14" x14ac:dyDescent="0.25">
      <c r="A9">
        <v>1988</v>
      </c>
      <c r="B9" s="4">
        <v>0</v>
      </c>
      <c r="C9" s="2">
        <v>0</v>
      </c>
      <c r="D9" s="4">
        <v>7.2442275156033498</v>
      </c>
      <c r="E9" s="4">
        <v>3.171909672366513</v>
      </c>
      <c r="F9" s="4">
        <v>13.143535714285715</v>
      </c>
      <c r="G9" s="4">
        <v>23.857142857142858</v>
      </c>
      <c r="H9" s="4">
        <v>1.5</v>
      </c>
    </row>
    <row r="10" spans="1:14" x14ac:dyDescent="0.25">
      <c r="A10">
        <v>1989</v>
      </c>
      <c r="B10" s="4">
        <v>0.14285714285714285</v>
      </c>
      <c r="C10" s="2">
        <v>2</v>
      </c>
      <c r="D10" s="4">
        <v>7.2772477266314839</v>
      </c>
      <c r="E10" s="4">
        <v>-4.2101400180668325</v>
      </c>
      <c r="F10" s="4">
        <v>7.8089426399447133</v>
      </c>
      <c r="G10" s="4">
        <v>24.187975120939875</v>
      </c>
      <c r="H10" s="4">
        <v>1.92</v>
      </c>
    </row>
    <row r="11" spans="1:14" x14ac:dyDescent="0.25">
      <c r="A11">
        <v>1990</v>
      </c>
      <c r="B11" s="4">
        <v>0.138217000691085</v>
      </c>
      <c r="C11" s="2">
        <v>2</v>
      </c>
      <c r="D11" s="4">
        <v>7.3105501585344221</v>
      </c>
      <c r="E11" s="4">
        <v>-4.5985579860686858</v>
      </c>
      <c r="F11" s="4">
        <v>7.5534090909090912</v>
      </c>
      <c r="G11" s="4">
        <v>24.532085561497325</v>
      </c>
      <c r="H11" s="4">
        <v>2.39</v>
      </c>
    </row>
    <row r="12" spans="1:14" x14ac:dyDescent="0.25">
      <c r="A12">
        <v>1991</v>
      </c>
      <c r="B12" s="4">
        <v>0.20053475935828879</v>
      </c>
      <c r="C12" s="2">
        <v>3</v>
      </c>
      <c r="D12" s="4">
        <v>7.415175109613295</v>
      </c>
      <c r="E12" s="4">
        <v>7.2237652981512301</v>
      </c>
      <c r="F12" s="4">
        <v>7.705984346779049</v>
      </c>
      <c r="G12" s="4">
        <v>23.660445514750151</v>
      </c>
      <c r="H12" s="4">
        <v>2.4300000000000002</v>
      </c>
    </row>
    <row r="13" spans="1:14" x14ac:dyDescent="0.25">
      <c r="A13">
        <v>1992</v>
      </c>
      <c r="B13" s="4">
        <v>0</v>
      </c>
      <c r="C13" s="2">
        <v>0</v>
      </c>
      <c r="D13" s="4">
        <v>7.508238774678663</v>
      </c>
      <c r="E13" s="4">
        <v>8.2321782132248611</v>
      </c>
      <c r="F13" s="4">
        <v>5.431102578167855</v>
      </c>
      <c r="G13" s="4">
        <v>25.507405375754249</v>
      </c>
      <c r="H13" s="4">
        <v>2.0499999999999998</v>
      </c>
    </row>
    <row r="14" spans="1:14" x14ac:dyDescent="0.25">
      <c r="A14">
        <v>1993</v>
      </c>
      <c r="B14" s="4">
        <v>0</v>
      </c>
      <c r="C14" s="2">
        <v>0</v>
      </c>
      <c r="D14" s="4">
        <v>7.5579949585308057</v>
      </c>
      <c r="E14" s="4">
        <v>5.904068190820877</v>
      </c>
      <c r="F14" s="4">
        <v>5.3239039665970775</v>
      </c>
      <c r="G14" s="4">
        <v>26.409185803757829</v>
      </c>
      <c r="H14" s="4">
        <v>1.94</v>
      </c>
      <c r="J14" s="13" t="s">
        <v>56</v>
      </c>
    </row>
    <row r="15" spans="1:14" x14ac:dyDescent="0.25">
      <c r="A15">
        <v>1994</v>
      </c>
      <c r="B15" s="4">
        <v>5.2192066805845504E-2</v>
      </c>
      <c r="C15" s="2">
        <v>1</v>
      </c>
      <c r="D15" s="4">
        <v>7.6704285221906927</v>
      </c>
      <c r="E15" s="4">
        <v>3.7288891927781842</v>
      </c>
      <c r="F15" s="4">
        <v>9.2346128731343278</v>
      </c>
      <c r="G15" s="4">
        <v>27.565298507462689</v>
      </c>
      <c r="H15" s="4">
        <v>1.27</v>
      </c>
      <c r="J15" s="29" t="s">
        <v>57</v>
      </c>
      <c r="K15" s="29" t="s">
        <v>58</v>
      </c>
      <c r="L15" s="29" t="s">
        <v>59</v>
      </c>
      <c r="M15" s="29" t="s">
        <v>60</v>
      </c>
      <c r="N15" s="29" t="s">
        <v>61</v>
      </c>
    </row>
    <row r="16" spans="1:14" x14ac:dyDescent="0.25">
      <c r="A16">
        <v>1995</v>
      </c>
      <c r="B16" s="4">
        <v>4.6641791044776115E-2</v>
      </c>
      <c r="C16" s="2">
        <v>1</v>
      </c>
      <c r="D16" s="4">
        <v>7.7561953439481179</v>
      </c>
      <c r="E16" s="4">
        <v>2.1998172640539382</v>
      </c>
      <c r="F16" s="4">
        <v>7.7485102739726033</v>
      </c>
      <c r="G16" s="4">
        <v>29.88013698630137</v>
      </c>
      <c r="H16" s="4">
        <v>1.79</v>
      </c>
    </row>
    <row r="17" spans="1:14" x14ac:dyDescent="0.25">
      <c r="A17">
        <v>1996</v>
      </c>
      <c r="B17" s="4">
        <v>0</v>
      </c>
      <c r="C17" s="2">
        <v>0</v>
      </c>
      <c r="D17" s="4">
        <v>7.844240718141811</v>
      </c>
      <c r="E17" s="4">
        <v>0.13230886600186231</v>
      </c>
      <c r="F17" s="4">
        <v>7.7230497843982739</v>
      </c>
      <c r="G17" s="4">
        <v>31.948255586044688</v>
      </c>
      <c r="H17" s="4">
        <v>1.48</v>
      </c>
      <c r="J17" s="31">
        <f>J16+(B17-AVERAGE(B$2:B16))^2</f>
        <v>6.0890927323546456E-3</v>
      </c>
      <c r="K17" s="32">
        <f>K16+(B17-TREND(B$6:B16,E$5:H15,E16:H16))^2</f>
        <v>5.4666957079445907E-4</v>
      </c>
      <c r="L17" s="32">
        <f>L16+(B17-TREND(B$6:B16,E$5:F15,E16:F16))^2</f>
        <v>5.4288404379478523E-3</v>
      </c>
      <c r="M17" s="32">
        <f>M16+(B17-poitrend(C$6:C16,D$5:H15,D16:H16)/EXP(D16)*100)^2</f>
        <v>7.5333485041291913E-5</v>
      </c>
      <c r="N17" s="32">
        <f>N16+(B17-poitrend(C$6:C16,D$5:F15,D16:F16)/EXP(D16)*100)^2</f>
        <v>3.5420935784639357E-3</v>
      </c>
    </row>
    <row r="18" spans="1:14" x14ac:dyDescent="0.25">
      <c r="A18">
        <v>1997</v>
      </c>
      <c r="B18" s="4">
        <v>7.8400627205017642E-2</v>
      </c>
      <c r="C18" s="2">
        <v>2</v>
      </c>
      <c r="D18" s="4">
        <v>7.9076515947110888</v>
      </c>
      <c r="E18" s="4">
        <v>2.13788797875889</v>
      </c>
      <c r="F18" s="4">
        <v>10.006600441501105</v>
      </c>
      <c r="G18" s="4">
        <v>35.724797645327442</v>
      </c>
      <c r="H18" s="4">
        <v>1.51</v>
      </c>
      <c r="J18" s="31">
        <f>J17+(B18-AVERAGE(B$2:B17))^2</f>
        <v>6.1166030536385285E-3</v>
      </c>
      <c r="K18" s="32">
        <f>K17+(B18-TREND(B$6:B17,E$5:H16,E17:H17))^2</f>
        <v>5.8869332297851159E-3</v>
      </c>
      <c r="L18" s="32">
        <f>L17+(B18-TREND(B$6:B17,E$5:F16,E17:F17))^2</f>
        <v>5.4748599570009909E-3</v>
      </c>
      <c r="M18" s="32">
        <f>M17+(B18-poitrend(C$6:C17,D$5:H16,D17:H17)/EXP(D17)*100)^2</f>
        <v>5.8709674202809389E-3</v>
      </c>
      <c r="N18" s="32">
        <f>N17+(B18-poitrend(C$6:C17,D$5:F16,D17:F17)/EXP(D17)*100)^2</f>
        <v>5.4001455429574848E-3</v>
      </c>
    </row>
    <row r="19" spans="1:14" x14ac:dyDescent="0.25">
      <c r="A19">
        <v>1998</v>
      </c>
      <c r="B19" s="4">
        <v>0.14716703458425312</v>
      </c>
      <c r="C19" s="2">
        <v>4</v>
      </c>
      <c r="D19" s="4">
        <v>7.9337968748154113</v>
      </c>
      <c r="E19" s="4">
        <v>-0.82365610174918169</v>
      </c>
      <c r="F19" s="4">
        <v>8.4592831541218629</v>
      </c>
      <c r="G19" s="4">
        <v>36.630824372759854</v>
      </c>
      <c r="H19" s="4">
        <v>2.65</v>
      </c>
      <c r="J19" s="31">
        <f>J18+(B19-AVERAGE(B$2:B18))^2</f>
        <v>1.154872119280026E-2</v>
      </c>
      <c r="K19" s="32">
        <f>K18+(B19-TREND(B$6:B18,E$5:H17,E18:H18))^2</f>
        <v>2.1506737850145414E-2</v>
      </c>
      <c r="L19" s="32">
        <f>L18+(B19-TREND(B$6:B18,E$5:F17,E18:F18))^2</f>
        <v>8.2415379357751936E-3</v>
      </c>
      <c r="M19" s="32">
        <f>M18+(B19-poitrend(C$6:C18,D$5:H17,D18:H18)/EXP(D18)*100)^2</f>
        <v>2.3697894348873025E-2</v>
      </c>
      <c r="N19" s="32">
        <f>N18+(B19-poitrend(C$6:C18,D$5:F17,D18:F18)/EXP(D18)*100)^2</f>
        <v>1.2381619669073609E-2</v>
      </c>
    </row>
    <row r="20" spans="1:14" x14ac:dyDescent="0.25">
      <c r="A20">
        <v>1999</v>
      </c>
      <c r="B20" s="4">
        <v>0.14336917562724014</v>
      </c>
      <c r="C20" s="2">
        <v>4</v>
      </c>
      <c r="D20" s="4">
        <v>7.9497972161618522</v>
      </c>
      <c r="E20" s="4">
        <v>2.6385344941946665</v>
      </c>
      <c r="F20" s="4">
        <v>10.159001763668432</v>
      </c>
      <c r="G20" s="4">
        <v>38.236331569664905</v>
      </c>
      <c r="H20" s="4">
        <v>1.83</v>
      </c>
      <c r="J20" s="31">
        <f>J19+(B20-AVERAGE(B$2:B19))^2</f>
        <v>1.587973517749644E-2</v>
      </c>
      <c r="K20" s="32">
        <f>K19+(B20-TREND(B$6:B19,E$5:H18,E19:H19))^2</f>
        <v>2.4074439197490527E-2</v>
      </c>
      <c r="L20" s="32">
        <f>L19+(B20-TREND(B$6:B19,E$5:F18,E19:F19))^2</f>
        <v>9.552182686071416E-3</v>
      </c>
      <c r="M20" s="32">
        <f>M19+(B20-poitrend(C$6:C19,D$5:H18,D19:H19)/EXP(D19)*100)^2</f>
        <v>2.3761213772931503E-2</v>
      </c>
      <c r="N20" s="32">
        <f>N19+(B20-poitrend(C$6:C19,D$5:F18,D19:F19)/EXP(D19)*100)^2</f>
        <v>1.2930895629727128E-2</v>
      </c>
    </row>
    <row r="21" spans="1:14" x14ac:dyDescent="0.25">
      <c r="A21">
        <v>2000</v>
      </c>
      <c r="B21" s="4">
        <v>0.17636684303350969</v>
      </c>
      <c r="C21" s="2">
        <v>5</v>
      </c>
      <c r="D21" s="4">
        <v>7.9824163468277334</v>
      </c>
      <c r="E21" s="4">
        <v>3.1996116489440674</v>
      </c>
      <c r="F21" s="4">
        <v>10.890747695459199</v>
      </c>
      <c r="G21" s="4">
        <v>40.491635370433592</v>
      </c>
      <c r="H21" s="4">
        <v>2.87</v>
      </c>
      <c r="J21" s="31">
        <f>J20+(B21-AVERAGE(B$2:B20))^2</f>
        <v>2.4970289757234896E-2</v>
      </c>
      <c r="K21" s="32">
        <f>K20+(B21-TREND(B$6:B20,E$5:H19,E20:H20))^2</f>
        <v>2.8070858619337127E-2</v>
      </c>
      <c r="L21" s="32">
        <f>L20+(B21-TREND(B$6:B20,E$5:F19,E20:F20))^2</f>
        <v>1.4835145276401363E-2</v>
      </c>
      <c r="M21" s="32">
        <f>M20+(B21-poitrend(C$6:C20,D$5:H19,D20:H20)/EXP(D20)*100)^2</f>
        <v>2.5344370165690938E-2</v>
      </c>
      <c r="N21" s="32">
        <f>N20+(B21-poitrend(C$6:C20,D$5:F19,D20:F20)/EXP(D20)*100)^2</f>
        <v>1.7509912172720112E-2</v>
      </c>
    </row>
    <row r="22" spans="1:14" x14ac:dyDescent="0.25">
      <c r="A22">
        <v>2001</v>
      </c>
      <c r="B22" s="4">
        <v>0.20484807101399793</v>
      </c>
      <c r="C22" s="2">
        <v>6</v>
      </c>
      <c r="D22" s="4">
        <v>8.0225689469882546</v>
      </c>
      <c r="E22" s="4">
        <v>-2.0434796364820706</v>
      </c>
      <c r="F22" s="4">
        <v>9.5109839291571028</v>
      </c>
      <c r="G22" s="4">
        <v>41.685798622499185</v>
      </c>
      <c r="H22" s="4">
        <v>2.95</v>
      </c>
      <c r="J22" s="31">
        <f>J21+(B22-AVERAGE(B$2:B21))^2</f>
        <v>3.9145194230571168E-2</v>
      </c>
      <c r="K22" s="32">
        <f>K21+(B22-TREND(B$6:B21,E$5:H20,E21:H21))^2</f>
        <v>3.0161501047823263E-2</v>
      </c>
      <c r="L22" s="32">
        <f>L21+(B22-TREND(B$6:B21,E$5:F20,E21:F21))^2</f>
        <v>2.190457043423439E-2</v>
      </c>
      <c r="M22" s="32">
        <f>M21+(B22-poitrend(C$6:C21,D$5:H20,D21:H21)/EXP(D21)*100)^2</f>
        <v>2.5365969193693386E-2</v>
      </c>
      <c r="N22" s="32">
        <f>N21+(B22-poitrend(C$6:C21,D$5:F20,D21:F21)/EXP(D21)*100)^2</f>
        <v>2.0941604785549857E-2</v>
      </c>
    </row>
    <row r="23" spans="1:14" x14ac:dyDescent="0.25">
      <c r="A23">
        <v>2002</v>
      </c>
      <c r="B23" s="4">
        <v>0.45916693998032143</v>
      </c>
      <c r="C23" s="2">
        <v>14</v>
      </c>
      <c r="D23" s="4">
        <v>8.0057006786625422</v>
      </c>
      <c r="E23" s="4">
        <v>8.6905365853658481</v>
      </c>
      <c r="F23" s="4">
        <v>8.7382088058705794</v>
      </c>
      <c r="G23" s="4">
        <v>44.229486324216147</v>
      </c>
      <c r="H23" s="4">
        <v>3.55</v>
      </c>
      <c r="J23" s="31">
        <f>J22+(B23-AVERAGE(B$2:B22))^2</f>
        <v>0.17435424158969426</v>
      </c>
      <c r="K23" s="32">
        <f>K22+(B23-TREND(B$6:B22,E$5:H21,E22:H22))^2</f>
        <v>9.2531562252276739E-2</v>
      </c>
      <c r="L23" s="32">
        <f>L22+(B23-TREND(B$6:B22,E$5:F21,E22:F22))^2</f>
        <v>0.11590270637926323</v>
      </c>
      <c r="M23" s="32">
        <f>M22+(B23-poitrend(C$6:C22,D$5:H21,D22:H22)/EXP(D22)*100)^2</f>
        <v>3.6248998213609537E-2</v>
      </c>
      <c r="N23" s="32">
        <f>N22+(B23-poitrend(C$6:C22,D$5:F21,D22:F22)/EXP(D22)*100)^2</f>
        <v>5.5570905375743641E-2</v>
      </c>
    </row>
    <row r="24" spans="1:14" x14ac:dyDescent="0.25">
      <c r="A24">
        <v>2003</v>
      </c>
      <c r="B24" s="4">
        <v>0.10006671114076052</v>
      </c>
      <c r="C24" s="2">
        <v>3</v>
      </c>
      <c r="D24" s="4">
        <v>8.0446262797673374</v>
      </c>
      <c r="E24" s="4">
        <v>10.945015743800646</v>
      </c>
      <c r="F24" s="4">
        <v>8.116554379210779</v>
      </c>
      <c r="G24" s="4">
        <v>46.679499518768047</v>
      </c>
      <c r="H24" s="4">
        <v>2.27</v>
      </c>
      <c r="J24" s="31">
        <f>J23+(B24-AVERAGE(B$2:B23))^2</f>
        <v>0.17441995518516615</v>
      </c>
      <c r="K24" s="32">
        <f>K23+(B24-TREND(B$6:B23,E$5:H22,E23:H23))^2</f>
        <v>0.10837401349086831</v>
      </c>
      <c r="L24" s="32">
        <f>L23+(B24-TREND(B$6:B23,E$5:F22,E23:F23))^2</f>
        <v>0.12088514730703841</v>
      </c>
      <c r="M24" s="32">
        <f>M23+(B24-poitrend(C$6:C23,D$5:H22,D23:H23)/EXP(D23)*100)^2</f>
        <v>3.6442227523597222E-2</v>
      </c>
      <c r="N24" s="32">
        <f>N23+(B24-poitrend(C$6:C23,D$5:F22,D23:F23)/EXP(D23)*100)^2</f>
        <v>6.0608305417686067E-2</v>
      </c>
    </row>
    <row r="25" spans="1:14" x14ac:dyDescent="0.25">
      <c r="A25">
        <v>2004</v>
      </c>
      <c r="B25" s="4">
        <v>0</v>
      </c>
      <c r="C25" s="2">
        <v>0</v>
      </c>
      <c r="D25" s="4">
        <v>8.0907087160839968</v>
      </c>
      <c r="E25" s="4">
        <v>9.5914961671545775</v>
      </c>
      <c r="F25" s="4">
        <v>10.264191176470588</v>
      </c>
      <c r="G25" s="4">
        <v>47.028186274509807</v>
      </c>
      <c r="H25" s="4">
        <v>1.89</v>
      </c>
      <c r="J25" s="31">
        <f>J24+(B25-AVERAGE(B$2:B24))^2</f>
        <v>0.18604524808870168</v>
      </c>
      <c r="K25" s="32">
        <f>K24+(B25-TREND(B$6:B24,E$5:H23,E24:H24))^2</f>
        <v>0.11567034476326449</v>
      </c>
      <c r="L25" s="32">
        <f>L24+(B25-TREND(B$6:B24,E$5:F23,E24:F24))^2</f>
        <v>0.12088975754411607</v>
      </c>
      <c r="M25" s="32">
        <f>M24+(B25-poitrend(C$6:C24,D$5:H23,D24:H24)/EXP(D24)*100)^2</f>
        <v>4.3439160113518525E-2</v>
      </c>
      <c r="N25" s="32">
        <f>N24+(B25-poitrend(C$6:C24,D$5:F23,D24:F24)/EXP(D24)*100)^2</f>
        <v>6.1475254154204441E-2</v>
      </c>
    </row>
    <row r="26" spans="1:14" x14ac:dyDescent="0.25">
      <c r="A26">
        <v>2005</v>
      </c>
      <c r="B26" s="4">
        <v>3.0637254901960783E-2</v>
      </c>
      <c r="C26" s="2">
        <v>1</v>
      </c>
      <c r="D26" s="4">
        <v>8.1052798279237859</v>
      </c>
      <c r="E26" s="4">
        <v>3.1834109969077984</v>
      </c>
      <c r="F26" s="4">
        <v>6.6737173852307432</v>
      </c>
      <c r="G26" s="4">
        <v>45.771122346593955</v>
      </c>
      <c r="H26" s="4">
        <v>1.91</v>
      </c>
      <c r="J26" s="31">
        <f>J25+(B26-AVERAGE(B$2:B25))^2</f>
        <v>0.19132921059923919</v>
      </c>
      <c r="K26" s="32">
        <f>K25+(B26-TREND(B$6:B25,E$5:H24,E25:H25))^2</f>
        <v>0.11947674483144186</v>
      </c>
      <c r="L26" s="32">
        <f>L25+(B26-TREND(B$6:B25,E$5:F24,E25:F25))^2</f>
        <v>0.12252006368287131</v>
      </c>
      <c r="M26" s="32">
        <f>M25+(B26-poitrend(C$6:C25,D$5:H24,D25:H25)/EXP(D25)*100)^2</f>
        <v>4.4422644749979333E-2</v>
      </c>
      <c r="N26" s="32">
        <f>N25+(B26-poitrend(C$6:C25,D$5:F24,D25:F25)/EXP(D25)*100)^2</f>
        <v>6.218004641934672E-2</v>
      </c>
    </row>
    <row r="28" spans="1:14" x14ac:dyDescent="0.25">
      <c r="J28" s="34" t="s">
        <v>62</v>
      </c>
    </row>
    <row r="29" spans="1:14" x14ac:dyDescent="0.25">
      <c r="K29">
        <f>(($J17-$J16)&lt;(K17-K16))*1</f>
        <v>0</v>
      </c>
      <c r="L29">
        <f t="shared" ref="L29:N29" si="0">(($J17-$J16)&lt;(L17-L16))*1</f>
        <v>0</v>
      </c>
      <c r="M29">
        <f t="shared" si="0"/>
        <v>0</v>
      </c>
      <c r="N29">
        <f t="shared" si="0"/>
        <v>0</v>
      </c>
    </row>
    <row r="30" spans="1:14" x14ac:dyDescent="0.25">
      <c r="K30">
        <f t="shared" ref="K30:N38" si="1">(($J18-$J17)&lt;(K18-K17))*1</f>
        <v>1</v>
      </c>
      <c r="L30">
        <f t="shared" si="1"/>
        <v>1</v>
      </c>
      <c r="M30">
        <f t="shared" si="1"/>
        <v>1</v>
      </c>
      <c r="N30">
        <f t="shared" si="1"/>
        <v>1</v>
      </c>
    </row>
    <row r="31" spans="1:14" x14ac:dyDescent="0.25">
      <c r="K31">
        <f t="shared" si="1"/>
        <v>1</v>
      </c>
      <c r="L31">
        <f t="shared" si="1"/>
        <v>0</v>
      </c>
      <c r="M31">
        <f t="shared" si="1"/>
        <v>1</v>
      </c>
      <c r="N31">
        <f t="shared" si="1"/>
        <v>1</v>
      </c>
    </row>
    <row r="32" spans="1:14" x14ac:dyDescent="0.25">
      <c r="K32">
        <f t="shared" si="1"/>
        <v>0</v>
      </c>
      <c r="L32">
        <f t="shared" si="1"/>
        <v>0</v>
      </c>
      <c r="M32">
        <f t="shared" si="1"/>
        <v>0</v>
      </c>
      <c r="N32">
        <f t="shared" si="1"/>
        <v>0</v>
      </c>
    </row>
    <row r="33" spans="10:15" x14ac:dyDescent="0.25">
      <c r="K33">
        <f t="shared" si="1"/>
        <v>0</v>
      </c>
      <c r="L33">
        <f t="shared" si="1"/>
        <v>0</v>
      </c>
      <c r="M33">
        <f t="shared" si="1"/>
        <v>0</v>
      </c>
      <c r="N33">
        <f t="shared" si="1"/>
        <v>0</v>
      </c>
    </row>
    <row r="34" spans="10:15" x14ac:dyDescent="0.25">
      <c r="K34">
        <f t="shared" si="1"/>
        <v>0</v>
      </c>
      <c r="L34">
        <f t="shared" si="1"/>
        <v>0</v>
      </c>
      <c r="M34">
        <f t="shared" si="1"/>
        <v>0</v>
      </c>
      <c r="N34">
        <f t="shared" si="1"/>
        <v>0</v>
      </c>
    </row>
    <row r="35" spans="10:15" x14ac:dyDescent="0.25">
      <c r="K35">
        <f t="shared" si="1"/>
        <v>0</v>
      </c>
      <c r="L35">
        <f t="shared" si="1"/>
        <v>0</v>
      </c>
      <c r="M35">
        <f t="shared" si="1"/>
        <v>0</v>
      </c>
      <c r="N35">
        <f t="shared" si="1"/>
        <v>0</v>
      </c>
    </row>
    <row r="36" spans="10:15" x14ac:dyDescent="0.25">
      <c r="K36">
        <f t="shared" si="1"/>
        <v>1</v>
      </c>
      <c r="L36">
        <f t="shared" si="1"/>
        <v>1</v>
      </c>
      <c r="M36">
        <f t="shared" si="1"/>
        <v>1</v>
      </c>
      <c r="N36">
        <f t="shared" si="1"/>
        <v>1</v>
      </c>
    </row>
    <row r="37" spans="10:15" x14ac:dyDescent="0.25">
      <c r="K37">
        <f t="shared" si="1"/>
        <v>0</v>
      </c>
      <c r="L37">
        <f t="shared" si="1"/>
        <v>0</v>
      </c>
      <c r="M37">
        <f t="shared" si="1"/>
        <v>0</v>
      </c>
      <c r="N37">
        <f t="shared" si="1"/>
        <v>0</v>
      </c>
    </row>
    <row r="38" spans="10:15" x14ac:dyDescent="0.25">
      <c r="K38">
        <f t="shared" si="1"/>
        <v>0</v>
      </c>
      <c r="L38">
        <f t="shared" si="1"/>
        <v>0</v>
      </c>
      <c r="M38">
        <f t="shared" si="1"/>
        <v>0</v>
      </c>
      <c r="N38">
        <f t="shared" si="1"/>
        <v>0</v>
      </c>
    </row>
    <row r="39" spans="10:15" x14ac:dyDescent="0.25">
      <c r="J39" s="33" t="s">
        <v>63</v>
      </c>
    </row>
    <row r="40" spans="10:15" x14ac:dyDescent="0.25">
      <c r="K40" s="31">
        <f>BINOMDIST(SUM(K29:K38),COUNT(K29:K38),0.5,1)</f>
        <v>0.17187500000000006</v>
      </c>
      <c r="L40" s="31">
        <f>BINOMDIST(SUM(L29:L38),COUNT(L29:L38),0.5,1)</f>
        <v>5.46875E-2</v>
      </c>
      <c r="M40" s="31">
        <f>BINOMDIST(SUM(M29:M38),COUNT(M29:M38),0.5,1)</f>
        <v>0.17187500000000006</v>
      </c>
      <c r="N40" s="31">
        <f>BINOMDIST(SUM(N29:N38),COUNT(N29:N38),0.5,1)</f>
        <v>0.17187500000000006</v>
      </c>
      <c r="O40" s="31"/>
    </row>
  </sheetData>
  <pageMargins left="0.7" right="0.7" top="0.75" bottom="0.75" header="0.3" footer="0.3"/>
  <pageSetup paperSize="9" orientation="portrait" horizontalDpi="4294967293" verticalDpi="0"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60"/>
  <sheetViews>
    <sheetView topLeftCell="A19" workbookViewId="0">
      <selection activeCell="A58" sqref="A58"/>
    </sheetView>
  </sheetViews>
  <sheetFormatPr defaultRowHeight="15" x14ac:dyDescent="0.25"/>
  <cols>
    <col min="2" max="2" width="10.28515625" customWidth="1"/>
  </cols>
  <sheetData>
    <row r="1" spans="1:11" x14ac:dyDescent="0.25">
      <c r="A1" s="24" t="s">
        <v>64</v>
      </c>
      <c r="B1" s="24"/>
      <c r="C1" s="24"/>
      <c r="D1" s="24"/>
      <c r="E1" s="24"/>
      <c r="F1" s="24"/>
    </row>
    <row r="2" spans="1:11" x14ac:dyDescent="0.25">
      <c r="A2" t="s">
        <v>65</v>
      </c>
      <c r="C2" t="s">
        <v>66</v>
      </c>
      <c r="D2" t="s">
        <v>67</v>
      </c>
      <c r="E2" t="s">
        <v>68</v>
      </c>
      <c r="F2" t="s">
        <v>4</v>
      </c>
      <c r="G2" t="s">
        <v>69</v>
      </c>
      <c r="H2" t="s">
        <v>70</v>
      </c>
      <c r="I2" t="s">
        <v>71</v>
      </c>
      <c r="J2" t="s">
        <v>38</v>
      </c>
      <c r="K2" t="s">
        <v>72</v>
      </c>
    </row>
    <row r="3" spans="1:11" x14ac:dyDescent="0.25">
      <c r="A3" t="s">
        <v>66</v>
      </c>
      <c r="C3" s="3">
        <v>88.2</v>
      </c>
      <c r="D3" s="3">
        <v>7.67</v>
      </c>
      <c r="E3" s="3">
        <v>0.49</v>
      </c>
      <c r="F3" s="3">
        <v>0.09</v>
      </c>
      <c r="G3" s="3">
        <v>0.06</v>
      </c>
      <c r="H3" s="3">
        <v>0</v>
      </c>
      <c r="I3" s="3">
        <v>0</v>
      </c>
      <c r="J3" s="3">
        <v>0</v>
      </c>
      <c r="K3" s="3">
        <v>3.49</v>
      </c>
    </row>
    <row r="4" spans="1:11" x14ac:dyDescent="0.25">
      <c r="A4" t="s">
        <v>67</v>
      </c>
      <c r="C4" s="3">
        <v>0.57999999999999996</v>
      </c>
      <c r="D4" s="3">
        <v>87.16</v>
      </c>
      <c r="E4" s="3">
        <v>7.63</v>
      </c>
      <c r="F4" s="3">
        <v>0.57999999999999996</v>
      </c>
      <c r="G4" s="3">
        <v>0.06</v>
      </c>
      <c r="H4" s="3">
        <v>0.11</v>
      </c>
      <c r="I4" s="3">
        <v>0.02</v>
      </c>
      <c r="J4" s="3">
        <v>0.01</v>
      </c>
      <c r="K4" s="3">
        <v>3.85</v>
      </c>
    </row>
    <row r="5" spans="1:11" x14ac:dyDescent="0.25">
      <c r="A5" t="s">
        <v>68</v>
      </c>
      <c r="C5" s="3">
        <v>0.05</v>
      </c>
      <c r="D5" s="3">
        <v>1.9</v>
      </c>
      <c r="E5" s="3">
        <v>87.24</v>
      </c>
      <c r="F5" s="3">
        <v>5.59</v>
      </c>
      <c r="G5" s="3">
        <v>0.42</v>
      </c>
      <c r="H5" s="3">
        <v>0.15</v>
      </c>
      <c r="I5" s="3">
        <v>0.03</v>
      </c>
      <c r="J5" s="3">
        <v>0.04</v>
      </c>
      <c r="K5" s="3">
        <v>4.58</v>
      </c>
    </row>
    <row r="6" spans="1:11" x14ac:dyDescent="0.25">
      <c r="A6" t="s">
        <v>4</v>
      </c>
      <c r="C6" s="3">
        <v>0.02</v>
      </c>
      <c r="D6" s="3">
        <v>0.16</v>
      </c>
      <c r="E6" s="3">
        <v>3.85</v>
      </c>
      <c r="F6" s="3">
        <v>84.13</v>
      </c>
      <c r="G6" s="3">
        <v>4.2699999999999996</v>
      </c>
      <c r="H6" s="3">
        <v>0.76</v>
      </c>
      <c r="I6" s="3">
        <v>0.17</v>
      </c>
      <c r="J6" s="3">
        <v>0.27</v>
      </c>
      <c r="K6" s="3">
        <v>6.37</v>
      </c>
    </row>
    <row r="7" spans="1:11" x14ac:dyDescent="0.25">
      <c r="A7" t="s">
        <v>69</v>
      </c>
      <c r="C7" s="3">
        <v>0.03</v>
      </c>
      <c r="D7" s="3">
        <v>0.04</v>
      </c>
      <c r="E7" s="3">
        <v>0.25</v>
      </c>
      <c r="F7" s="3">
        <v>5.26</v>
      </c>
      <c r="G7" s="3">
        <v>75.739999999999995</v>
      </c>
      <c r="H7" s="3">
        <v>7.36</v>
      </c>
      <c r="I7" s="3">
        <v>0.9</v>
      </c>
      <c r="J7" s="3">
        <v>1.1200000000000001</v>
      </c>
      <c r="K7" s="3">
        <v>9.2899999999999991</v>
      </c>
    </row>
    <row r="8" spans="1:11" x14ac:dyDescent="0.25">
      <c r="A8" t="s">
        <v>70</v>
      </c>
      <c r="C8" s="3">
        <v>0</v>
      </c>
      <c r="D8" s="3">
        <v>0.05</v>
      </c>
      <c r="E8" s="3">
        <v>0.19</v>
      </c>
      <c r="F8" s="3">
        <v>0.31</v>
      </c>
      <c r="G8" s="3">
        <v>5.52</v>
      </c>
      <c r="H8" s="3">
        <v>72.67</v>
      </c>
      <c r="I8" s="23">
        <v>4.21</v>
      </c>
      <c r="J8" s="3">
        <v>5.38</v>
      </c>
      <c r="K8" s="3">
        <v>11.67</v>
      </c>
    </row>
    <row r="9" spans="1:11" x14ac:dyDescent="0.25">
      <c r="A9" t="s">
        <v>71</v>
      </c>
      <c r="C9" s="3">
        <v>0</v>
      </c>
      <c r="D9" s="3">
        <v>0</v>
      </c>
      <c r="E9" s="3">
        <v>0.28000000000000003</v>
      </c>
      <c r="F9" s="3">
        <v>0.41</v>
      </c>
      <c r="G9" s="3">
        <v>1.24</v>
      </c>
      <c r="H9" s="3">
        <v>10.92</v>
      </c>
      <c r="I9" s="3">
        <v>47.06</v>
      </c>
      <c r="J9" s="3">
        <v>27.02</v>
      </c>
      <c r="K9" s="3">
        <v>13.06</v>
      </c>
    </row>
    <row r="11" spans="1:11" x14ac:dyDescent="0.25">
      <c r="A11" s="36" t="s">
        <v>73</v>
      </c>
      <c r="B11" s="24"/>
      <c r="C11" s="24"/>
      <c r="D11" s="24"/>
      <c r="E11" s="24"/>
    </row>
    <row r="12" spans="1:11" x14ac:dyDescent="0.25">
      <c r="A12" s="35" t="s">
        <v>74</v>
      </c>
    </row>
    <row r="13" spans="1:11" x14ac:dyDescent="0.25">
      <c r="A13" t="s">
        <v>65</v>
      </c>
      <c r="B13" t="s">
        <v>75</v>
      </c>
      <c r="C13" t="s">
        <v>66</v>
      </c>
      <c r="D13" t="s">
        <v>67</v>
      </c>
      <c r="E13" t="s">
        <v>68</v>
      </c>
      <c r="F13" t="s">
        <v>4</v>
      </c>
      <c r="G13" t="s">
        <v>69</v>
      </c>
      <c r="H13" t="s">
        <v>70</v>
      </c>
      <c r="I13" t="s">
        <v>71</v>
      </c>
      <c r="J13" t="s">
        <v>38</v>
      </c>
      <c r="K13" t="s">
        <v>72</v>
      </c>
    </row>
    <row r="14" spans="1:11" x14ac:dyDescent="0.25">
      <c r="A14" t="s">
        <v>66</v>
      </c>
      <c r="B14">
        <v>132</v>
      </c>
      <c r="C14" s="3">
        <v>81.06</v>
      </c>
      <c r="D14" s="3">
        <v>11.36</v>
      </c>
      <c r="E14" s="3">
        <v>0</v>
      </c>
      <c r="F14" s="3">
        <v>0.76</v>
      </c>
      <c r="G14" s="3">
        <v>0</v>
      </c>
      <c r="H14" s="3">
        <v>0</v>
      </c>
      <c r="I14" s="3">
        <v>0</v>
      </c>
      <c r="J14" s="3">
        <v>0</v>
      </c>
      <c r="K14" s="3">
        <v>6.82</v>
      </c>
    </row>
    <row r="15" spans="1:11" x14ac:dyDescent="0.25">
      <c r="A15" t="s">
        <v>67</v>
      </c>
      <c r="B15">
        <v>526</v>
      </c>
      <c r="C15" s="3">
        <v>0.19</v>
      </c>
      <c r="D15" s="3">
        <v>74.900000000000006</v>
      </c>
      <c r="E15" s="3">
        <v>16.920000000000002</v>
      </c>
      <c r="F15" s="3">
        <v>2.2799999999999998</v>
      </c>
      <c r="G15" s="3">
        <v>0.19</v>
      </c>
      <c r="H15" s="3">
        <v>0.56999999999999995</v>
      </c>
      <c r="I15" s="3">
        <v>0</v>
      </c>
      <c r="J15" s="3">
        <v>0</v>
      </c>
      <c r="K15" s="3">
        <v>4.9400000000000004</v>
      </c>
    </row>
    <row r="16" spans="1:11" x14ac:dyDescent="0.25">
      <c r="A16" t="s">
        <v>68</v>
      </c>
      <c r="B16">
        <v>1120</v>
      </c>
      <c r="C16" s="3">
        <v>0</v>
      </c>
      <c r="D16" s="3">
        <v>0.54</v>
      </c>
      <c r="E16" s="3">
        <v>83.13</v>
      </c>
      <c r="F16" s="3">
        <v>10.54</v>
      </c>
      <c r="G16" s="3">
        <v>0.8</v>
      </c>
      <c r="H16" s="3">
        <v>0.18</v>
      </c>
      <c r="I16" s="3">
        <v>0.09</v>
      </c>
      <c r="J16" s="3">
        <v>0.09</v>
      </c>
      <c r="K16" s="3">
        <v>4.6399999999999997</v>
      </c>
    </row>
    <row r="17" spans="1:11" x14ac:dyDescent="0.25">
      <c r="A17" t="s">
        <v>4</v>
      </c>
      <c r="B17">
        <v>1271</v>
      </c>
      <c r="C17" s="3">
        <v>0</v>
      </c>
      <c r="D17" s="3">
        <v>0.08</v>
      </c>
      <c r="E17" s="3">
        <v>2.12</v>
      </c>
      <c r="F17" s="3">
        <v>82.06</v>
      </c>
      <c r="G17" s="3">
        <v>6.06</v>
      </c>
      <c r="H17" s="3">
        <v>2.2000000000000002</v>
      </c>
      <c r="I17" s="3">
        <v>0.55000000000000004</v>
      </c>
      <c r="J17" s="3">
        <v>1.02</v>
      </c>
      <c r="K17" s="3">
        <v>5.9</v>
      </c>
    </row>
    <row r="18" spans="1:11" x14ac:dyDescent="0.25">
      <c r="A18" t="s">
        <v>69</v>
      </c>
      <c r="B18">
        <v>802</v>
      </c>
      <c r="C18" s="3">
        <v>0.12</v>
      </c>
      <c r="D18" s="3">
        <v>0</v>
      </c>
      <c r="E18" s="3">
        <v>0.37</v>
      </c>
      <c r="F18" s="3">
        <v>3.24</v>
      </c>
      <c r="G18" s="3">
        <v>77.680000000000007</v>
      </c>
      <c r="H18" s="3">
        <v>7.61</v>
      </c>
      <c r="I18" s="3">
        <v>1.37</v>
      </c>
      <c r="J18" s="3">
        <v>2.74</v>
      </c>
      <c r="K18" s="3">
        <v>6.86</v>
      </c>
    </row>
    <row r="19" spans="1:11" x14ac:dyDescent="0.25">
      <c r="A19" t="s">
        <v>70</v>
      </c>
      <c r="B19">
        <v>754</v>
      </c>
      <c r="C19" s="3">
        <v>0</v>
      </c>
      <c r="D19" s="3">
        <v>0</v>
      </c>
      <c r="E19" s="3">
        <v>0</v>
      </c>
      <c r="F19" s="3">
        <v>0.27</v>
      </c>
      <c r="G19" s="3">
        <v>4.6399999999999997</v>
      </c>
      <c r="H19" s="3">
        <v>68.3</v>
      </c>
      <c r="I19" s="23">
        <v>9.15</v>
      </c>
      <c r="J19" s="3">
        <v>8.09</v>
      </c>
      <c r="K19" s="3">
        <v>9.5500000000000007</v>
      </c>
    </row>
    <row r="20" spans="1:11" x14ac:dyDescent="0.25">
      <c r="A20" t="s">
        <v>71</v>
      </c>
      <c r="B20">
        <v>170</v>
      </c>
      <c r="C20" s="3">
        <v>0</v>
      </c>
      <c r="D20" s="3">
        <v>0</v>
      </c>
      <c r="E20" s="3">
        <v>0.59</v>
      </c>
      <c r="F20" s="3">
        <v>0</v>
      </c>
      <c r="G20" s="3">
        <v>1.18</v>
      </c>
      <c r="H20" s="3">
        <v>7.65</v>
      </c>
      <c r="I20" s="3">
        <v>34.119999999999997</v>
      </c>
      <c r="J20" s="3">
        <v>44.12</v>
      </c>
      <c r="K20" s="3">
        <v>12.35</v>
      </c>
    </row>
    <row r="22" spans="1:11" x14ac:dyDescent="0.25">
      <c r="A22" s="12" t="s">
        <v>76</v>
      </c>
    </row>
    <row r="23" spans="1:11" x14ac:dyDescent="0.25">
      <c r="A23" s="12" t="s">
        <v>77</v>
      </c>
    </row>
    <row r="25" spans="1:11" x14ac:dyDescent="0.25">
      <c r="A25" s="13" t="s">
        <v>78</v>
      </c>
    </row>
    <row r="26" spans="1:11" x14ac:dyDescent="0.25">
      <c r="B26">
        <v>1</v>
      </c>
      <c r="C26">
        <v>2</v>
      </c>
      <c r="D26">
        <v>3</v>
      </c>
      <c r="E26">
        <v>4</v>
      </c>
      <c r="F26">
        <v>5</v>
      </c>
      <c r="G26">
        <v>6</v>
      </c>
      <c r="H26">
        <v>7</v>
      </c>
    </row>
    <row r="27" spans="1:11" x14ac:dyDescent="0.25">
      <c r="A27" t="s">
        <v>79</v>
      </c>
      <c r="B27" t="s">
        <v>66</v>
      </c>
      <c r="C27" t="s">
        <v>67</v>
      </c>
      <c r="D27" t="s">
        <v>68</v>
      </c>
      <c r="E27" t="s">
        <v>4</v>
      </c>
      <c r="F27" t="s">
        <v>69</v>
      </c>
      <c r="G27" t="s">
        <v>70</v>
      </c>
      <c r="H27" t="s">
        <v>71</v>
      </c>
      <c r="I27" t="s">
        <v>38</v>
      </c>
    </row>
    <row r="28" spans="1:11" x14ac:dyDescent="0.25">
      <c r="A28" t="s">
        <v>66</v>
      </c>
      <c r="B28" s="37">
        <f>100-SUM(C28:I28)</f>
        <v>91.386493316754752</v>
      </c>
      <c r="C28" s="37">
        <f>IF(D3,D3/(100-$K3),0.00001)*100</f>
        <v>7.9473629675681261</v>
      </c>
      <c r="D28" s="37">
        <f t="shared" ref="D28:I31" si="0">IF(E3,E3/(100-$K3),0.00001)*100</f>
        <v>0.50771940731530407</v>
      </c>
      <c r="E28" s="37">
        <f t="shared" si="0"/>
        <v>9.3254585017096658E-2</v>
      </c>
      <c r="F28" s="37">
        <f t="shared" si="0"/>
        <v>6.2169723344731115E-2</v>
      </c>
      <c r="G28" s="37">
        <f t="shared" si="0"/>
        <v>1E-3</v>
      </c>
      <c r="H28" s="37">
        <f t="shared" si="0"/>
        <v>1E-3</v>
      </c>
      <c r="I28" s="37">
        <f t="shared" si="0"/>
        <v>1E-3</v>
      </c>
    </row>
    <row r="29" spans="1:11" x14ac:dyDescent="0.25">
      <c r="A29" t="s">
        <v>67</v>
      </c>
      <c r="B29" s="37">
        <f>IF(C4,C4/(100-$K4),0.00001)*100</f>
        <v>0.60322412896515853</v>
      </c>
      <c r="C29" s="37">
        <f>100-SUM(D29:$I29,$B29:B29)</f>
        <v>90.650026001040047</v>
      </c>
      <c r="D29" s="37">
        <f t="shared" si="0"/>
        <v>7.9355174206968275</v>
      </c>
      <c r="E29" s="37">
        <f t="shared" ref="E29:I29" si="1">IF(F4,F4/(100-$K4),0.00001)*100</f>
        <v>0.60322412896515853</v>
      </c>
      <c r="F29" s="37">
        <f t="shared" si="1"/>
        <v>6.2402496099843982E-2</v>
      </c>
      <c r="G29" s="37">
        <f t="shared" si="1"/>
        <v>0.11440457618304731</v>
      </c>
      <c r="H29" s="37">
        <f t="shared" si="1"/>
        <v>2.0800832033281331E-2</v>
      </c>
      <c r="I29" s="37">
        <f t="shared" si="1"/>
        <v>1.0400416016640665E-2</v>
      </c>
    </row>
    <row r="30" spans="1:11" x14ac:dyDescent="0.25">
      <c r="A30" t="s">
        <v>68</v>
      </c>
      <c r="B30" s="37">
        <f t="shared" ref="B30:G34" si="2">IF(C5,C5/(100-$K5),0.00001)*100</f>
        <v>5.2399916160134147E-2</v>
      </c>
      <c r="C30" s="37">
        <f>IF(D5,D5/(100-$K5),0.00001)*100</f>
        <v>1.9911968140850971</v>
      </c>
      <c r="D30" s="37">
        <f>100-SUM(E30:$I30,$B30:C30)</f>
        <v>91.427373716202055</v>
      </c>
      <c r="E30" s="37">
        <f t="shared" ref="E30:I30" si="3">IF(F5,F5/(100-$K5),0.00001)*100</f>
        <v>5.8583106267029974</v>
      </c>
      <c r="F30" s="37">
        <f t="shared" si="3"/>
        <v>0.4401592957451268</v>
      </c>
      <c r="G30" s="37">
        <f t="shared" si="3"/>
        <v>0.15719974848040244</v>
      </c>
      <c r="H30" s="40">
        <f t="shared" si="3"/>
        <v>3.1439949696080487E-2</v>
      </c>
      <c r="I30" s="40">
        <f t="shared" si="3"/>
        <v>4.1919932928107313E-2</v>
      </c>
    </row>
    <row r="31" spans="1:11" x14ac:dyDescent="0.25">
      <c r="A31" t="s">
        <v>4</v>
      </c>
      <c r="B31" s="37">
        <f t="shared" si="2"/>
        <v>2.1360674997329916E-2</v>
      </c>
      <c r="C31" s="37">
        <f t="shared" si="2"/>
        <v>0.17088539997863933</v>
      </c>
      <c r="D31" s="37">
        <f t="shared" si="0"/>
        <v>4.1119299369860096</v>
      </c>
      <c r="E31" s="37">
        <f>100-SUM(F31:$I31,$B31:D31)</f>
        <v>89.853679376268289</v>
      </c>
      <c r="F31" s="37">
        <f t="shared" ref="F31:I31" si="4">IF(G6,G6/(100-$K6),0.00001)*100</f>
        <v>4.5605041119299372</v>
      </c>
      <c r="G31" s="37">
        <f t="shared" si="4"/>
        <v>0.81170564989853677</v>
      </c>
      <c r="H31" s="37">
        <f t="shared" si="4"/>
        <v>0.18156573747730431</v>
      </c>
      <c r="I31" s="37">
        <f t="shared" si="4"/>
        <v>0.28836911246395391</v>
      </c>
    </row>
    <row r="32" spans="1:11" x14ac:dyDescent="0.25">
      <c r="A32" t="s">
        <v>69</v>
      </c>
      <c r="B32" s="37">
        <f t="shared" si="2"/>
        <v>3.3072428618674897E-2</v>
      </c>
      <c r="C32" s="37">
        <f t="shared" si="2"/>
        <v>4.4096571491566525E-2</v>
      </c>
      <c r="D32" s="37">
        <f t="shared" si="2"/>
        <v>0.27560357182229078</v>
      </c>
      <c r="E32" s="37">
        <f t="shared" ref="E32" si="5">IF(F7,F7/(100-$K7),0.00001)*100</f>
        <v>5.7986991511409975</v>
      </c>
      <c r="F32" s="37">
        <f>100-SUM(G32:$I32,$B32:E32)</f>
        <v>83.507882262154112</v>
      </c>
      <c r="G32" s="37">
        <f t="shared" ref="G32:I32" si="6">IF(H7,H7/(100-$K7),0.00001)*100</f>
        <v>8.1137691544482422</v>
      </c>
      <c r="H32" s="37">
        <f t="shared" si="6"/>
        <v>0.99217285856024684</v>
      </c>
      <c r="I32" s="37">
        <f t="shared" si="6"/>
        <v>1.2347040017638629</v>
      </c>
    </row>
    <row r="33" spans="1:9" x14ac:dyDescent="0.25">
      <c r="A33" t="s">
        <v>70</v>
      </c>
      <c r="B33" s="37">
        <f t="shared" si="2"/>
        <v>1E-3</v>
      </c>
      <c r="C33" s="37">
        <f t="shared" si="2"/>
        <v>5.6605909656968191E-2</v>
      </c>
      <c r="D33" s="37">
        <f t="shared" si="2"/>
        <v>0.21510245669647912</v>
      </c>
      <c r="E33" s="37">
        <f t="shared" ref="E33" si="7">IF(F8,F8/(100-$K8),0.00001)*100</f>
        <v>0.3509566398732028</v>
      </c>
      <c r="F33" s="37">
        <f t="shared" si="2"/>
        <v>6.249292426129287</v>
      </c>
      <c r="G33" s="37">
        <f>100-SUM(H33:$I33,$B33:F33)</f>
        <v>82.270029095437565</v>
      </c>
      <c r="H33" s="37">
        <f t="shared" ref="H33:I34" si="8">IF(I8,I8/(100-$K8),0.00001)*100</f>
        <v>4.7662175931167212</v>
      </c>
      <c r="I33" s="37">
        <f t="shared" si="8"/>
        <v>6.0907958790897769</v>
      </c>
    </row>
    <row r="34" spans="1:9" x14ac:dyDescent="0.25">
      <c r="A34" t="s">
        <v>71</v>
      </c>
      <c r="B34" s="37">
        <f t="shared" si="2"/>
        <v>1E-3</v>
      </c>
      <c r="C34" s="37">
        <f t="shared" si="2"/>
        <v>1E-3</v>
      </c>
      <c r="D34" s="37">
        <f t="shared" si="2"/>
        <v>0.32206119162640906</v>
      </c>
      <c r="E34" s="37">
        <f t="shared" si="2"/>
        <v>0.47158960202438466</v>
      </c>
      <c r="F34" s="37">
        <f t="shared" si="2"/>
        <v>1.4262709914883829</v>
      </c>
      <c r="G34" s="37">
        <f t="shared" si="2"/>
        <v>12.560386473429952</v>
      </c>
      <c r="H34" s="37">
        <f>100-SUM(I34:$I34,$B34:G34)</f>
        <v>54.138786749482399</v>
      </c>
      <c r="I34" s="37">
        <f t="shared" si="8"/>
        <v>31.07890499194847</v>
      </c>
    </row>
    <row r="36" spans="1:9" x14ac:dyDescent="0.25">
      <c r="A36" s="13" t="s">
        <v>80</v>
      </c>
    </row>
    <row r="37" spans="1:9" x14ac:dyDescent="0.25">
      <c r="A37" s="13"/>
      <c r="B37" t="s">
        <v>66</v>
      </c>
      <c r="C37" t="s">
        <v>67</v>
      </c>
      <c r="D37" t="s">
        <v>68</v>
      </c>
      <c r="E37" t="s">
        <v>4</v>
      </c>
      <c r="F37" t="s">
        <v>69</v>
      </c>
      <c r="G37" t="s">
        <v>70</v>
      </c>
      <c r="H37" t="s">
        <v>71</v>
      </c>
      <c r="I37" t="s">
        <v>38</v>
      </c>
    </row>
    <row r="38" spans="1:9" x14ac:dyDescent="0.25">
      <c r="A38" t="s">
        <v>66</v>
      </c>
      <c r="B38" s="38"/>
      <c r="C38" s="38">
        <f>NORMSINV(SUM(C28:$I28)/100)</f>
        <v>-1.3649456476220934</v>
      </c>
      <c r="D38" s="38">
        <f>NORMSINV(SUM(D28:$I28)/100)</f>
        <v>-2.4750199241620563</v>
      </c>
      <c r="E38" s="38">
        <f>NORMSINV(SUM(E28:$I28)/100)</f>
        <v>-2.9509008434935335</v>
      </c>
      <c r="F38" s="38">
        <f>NORMSINV(SUM(F28:$I28)/100)</f>
        <v>-3.2152313160686079</v>
      </c>
      <c r="G38" s="38">
        <f>NORMSINV(SUM(G28:$I28)/100)</f>
        <v>-4.0128108111182534</v>
      </c>
      <c r="H38" s="38">
        <f>NORMSINV(SUM(H28:$I28)/100)</f>
        <v>-4.1074796545862489</v>
      </c>
      <c r="I38" s="38">
        <f>NORMSINV(SUM($I28:I28)/100)</f>
        <v>-4.2648907939228256</v>
      </c>
    </row>
    <row r="39" spans="1:9" x14ac:dyDescent="0.25">
      <c r="A39" t="s">
        <v>67</v>
      </c>
      <c r="B39" s="38"/>
      <c r="C39" s="38">
        <f>NORMSINV(SUM(C29:$I29)/100)</f>
        <v>2.5102526026726086</v>
      </c>
      <c r="D39" s="38">
        <f>NORMSINV(SUM(D29:$I29)/100)</f>
        <v>-1.3565161594738151</v>
      </c>
      <c r="E39" s="38">
        <f>NORMSINV(SUM(E29:$I29)/100)</f>
        <v>-2.40382250044946</v>
      </c>
      <c r="F39" s="38">
        <f>NORMSINV(SUM(F29:$I29)/100)</f>
        <v>-2.8657545667940347</v>
      </c>
      <c r="G39" s="38">
        <f>NORMSINV(SUM(G29:$I29)/100)</f>
        <v>-2.9768655911124142</v>
      </c>
      <c r="H39" s="38">
        <f>NORMSINV(SUM(H29:$I29)/100)</f>
        <v>-3.4209513408935881</v>
      </c>
      <c r="I39" s="38">
        <f>NORMSINV(SUM($I29:I29)/100)</f>
        <v>-3.709086550851278</v>
      </c>
    </row>
    <row r="40" spans="1:9" x14ac:dyDescent="0.25">
      <c r="A40" t="s">
        <v>68</v>
      </c>
      <c r="C40" s="38">
        <f>NORMSINV(SUM(C30:$I30)/100)</f>
        <v>3.2773137854185967</v>
      </c>
      <c r="D40" s="38">
        <f>NORMSINV(SUM(D30:$I30)/100)</f>
        <v>2.0448268202600248</v>
      </c>
      <c r="E40" s="38">
        <f>NORMSINV(SUM(E30:$I30)/100)</f>
        <v>-1.5118163412507513</v>
      </c>
      <c r="F40" s="38">
        <f>NORMSINV(SUM(F30:$I30)/100)</f>
        <v>-2.472574408178871</v>
      </c>
      <c r="G40" s="38">
        <f>NORMSINV(SUM(G30:$I30)/100)</f>
        <v>-2.8330101192963753</v>
      </c>
      <c r="H40" s="38">
        <f>NORMSINV(SUM(H30:$I30)/100)</f>
        <v>-3.1810944927736307</v>
      </c>
      <c r="I40" s="38">
        <f>NORMSINV(SUM($I30:I30)/100)</f>
        <v>-3.3397962839214936</v>
      </c>
    </row>
    <row r="41" spans="1:9" x14ac:dyDescent="0.25">
      <c r="A41" t="s">
        <v>4</v>
      </c>
      <c r="B41" s="38"/>
      <c r="C41" s="38">
        <f>NORMSINV(SUM(C31:$I31)/100)</f>
        <v>3.5226758635500479</v>
      </c>
      <c r="D41" s="38">
        <f>NORMSINV(SUM(D31:$I31)/100)</f>
        <v>2.8906122848474518</v>
      </c>
      <c r="E41" s="38">
        <f>NORMSINV(SUM(E31:$I31)/100)</f>
        <v>1.7164291767143374</v>
      </c>
      <c r="F41" s="38">
        <f>NORMSINV(SUM(F31:$I31)/100)</f>
        <v>-1.5681638771198869</v>
      </c>
      <c r="G41" s="38">
        <f>NORMSINV(SUM(G31:$I31)/100)</f>
        <v>-2.2317300488307539</v>
      </c>
      <c r="H41" s="38">
        <f>NORMSINV(SUM(H31:$I31)/100)</f>
        <v>-2.5972007719818957</v>
      </c>
      <c r="I41" s="38">
        <f>NORMSINV(SUM($I31:I31)/100)</f>
        <v>-2.7607215663908051</v>
      </c>
    </row>
    <row r="42" spans="1:9" x14ac:dyDescent="0.25">
      <c r="A42" t="s">
        <v>69</v>
      </c>
      <c r="B42" s="38"/>
      <c r="C42" s="38">
        <f>NORMSINV(SUM(C32:$I32)/100)</f>
        <v>3.4050792414668396</v>
      </c>
      <c r="D42" s="38">
        <f>NORMSINV(SUM(D32:$I32)/100)</f>
        <v>3.1664007571368433</v>
      </c>
      <c r="E42" s="38">
        <f>NORMSINV(SUM(E32:$I32)/100)</f>
        <v>2.6942155785567907</v>
      </c>
      <c r="F42" s="38">
        <f>NORMSINV(SUM(F32:$I32)/100)</f>
        <v>1.542181746574026</v>
      </c>
      <c r="G42" s="38">
        <f>NORMSINV(SUM(G32:$I32)/100)</f>
        <v>-1.2623776702215976</v>
      </c>
      <c r="H42" s="38">
        <f>NORMSINV(SUM(H32:$I32)/100)</f>
        <v>-2.0089961955284013</v>
      </c>
      <c r="I42" s="38">
        <f>NORMSINV(SUM($I32:I32)/100)</f>
        <v>-2.2461550223784146</v>
      </c>
    </row>
    <row r="43" spans="1:9" x14ac:dyDescent="0.25">
      <c r="A43" t="s">
        <v>70</v>
      </c>
      <c r="B43" s="38"/>
      <c r="C43" s="38">
        <f>NORMSINV(SUM(C33:$I33)/100)</f>
        <v>4.2648907939238399</v>
      </c>
      <c r="D43" s="38">
        <f>NORMSINV(SUM(D33:$I33)/100)</f>
        <v>3.2504764272965794</v>
      </c>
      <c r="E43" s="38">
        <f>NORMSINV(SUM(E33:$I33)/100)</f>
        <v>2.778909768281757</v>
      </c>
      <c r="F43" s="38">
        <f>NORMSINV(SUM(F33:$I33)/100)</f>
        <v>2.4984634590586792</v>
      </c>
      <c r="G43" s="38">
        <f>NORMSINV(SUM(G33:$I33)/100)</f>
        <v>1.4853197268648541</v>
      </c>
      <c r="H43" s="38">
        <f>NORMSINV(SUM(H33:$I33)/100)</f>
        <v>-1.2341681058925809</v>
      </c>
      <c r="I43" s="38">
        <f>NORMSINV(SUM($I33:I33)/100)</f>
        <v>-1.5471963013891714</v>
      </c>
    </row>
    <row r="44" spans="1:9" x14ac:dyDescent="0.25">
      <c r="A44" t="s">
        <v>71</v>
      </c>
      <c r="B44" s="38"/>
      <c r="C44" s="38">
        <f>NORMSINV(SUM(C34:$I34)/100)</f>
        <v>4.2648907939213609</v>
      </c>
      <c r="D44" s="38">
        <f>NORMSINV(SUM(D34:$I34)/100)</f>
        <v>4.1074796545847345</v>
      </c>
      <c r="E44" s="38">
        <f>NORMSINV(SUM(E34:$I34)/100)</f>
        <v>2.722386776057895</v>
      </c>
      <c r="F44" s="38">
        <f>NORMSINV(SUM(F34:$I34)/100)</f>
        <v>2.410904470351138</v>
      </c>
      <c r="G44" s="38">
        <f>NORMSINV(SUM(G34:$I34)/100)</f>
        <v>2.0099315339092572</v>
      </c>
      <c r="H44" s="38">
        <f>NORMSINV(SUM(H34:$I34)/100)</f>
        <v>1.04581562622199</v>
      </c>
      <c r="I44" s="38">
        <f>NORMSINV(SUM($I34:I34)/100)</f>
        <v>-0.49361500764043981</v>
      </c>
    </row>
    <row r="45" spans="1:9" x14ac:dyDescent="0.25">
      <c r="B45" s="39"/>
      <c r="C45" s="39"/>
      <c r="D45" s="39"/>
      <c r="E45" s="39"/>
      <c r="F45" s="39"/>
      <c r="G45" s="39"/>
      <c r="H45" s="39"/>
      <c r="I45" s="39"/>
    </row>
    <row r="46" spans="1:9" x14ac:dyDescent="0.25">
      <c r="A46" s="13"/>
      <c r="B46" s="38"/>
      <c r="C46" s="39"/>
      <c r="D46" s="39"/>
      <c r="E46" s="39"/>
      <c r="F46" s="39"/>
      <c r="G46" s="39"/>
      <c r="H46" s="39"/>
      <c r="I46" s="39"/>
    </row>
    <row r="47" spans="1:9" x14ac:dyDescent="0.25">
      <c r="B47" t="s">
        <v>66</v>
      </c>
      <c r="C47" t="s">
        <v>67</v>
      </c>
      <c r="D47" t="s">
        <v>68</v>
      </c>
      <c r="E47" t="s">
        <v>4</v>
      </c>
      <c r="F47" t="s">
        <v>69</v>
      </c>
      <c r="G47" t="s">
        <v>70</v>
      </c>
      <c r="H47" t="s">
        <v>71</v>
      </c>
      <c r="I47" t="s">
        <v>38</v>
      </c>
    </row>
    <row r="48" spans="1:9" x14ac:dyDescent="0.25">
      <c r="B48" t="str">
        <f t="shared" ref="B48:I48" si="9">CONCATENATE("[",FIXED(B40,2),",",FIXED(C40,2),"]")</f>
        <v>[0.00,3.28]</v>
      </c>
      <c r="C48" t="str">
        <f t="shared" si="9"/>
        <v>[3.28,2.04]</v>
      </c>
      <c r="D48" t="str">
        <f t="shared" si="9"/>
        <v>[2.04,-1.51]</v>
      </c>
      <c r="E48" t="str">
        <f t="shared" si="9"/>
        <v>[-1.51,-2.47]</v>
      </c>
      <c r="F48" t="str">
        <f t="shared" si="9"/>
        <v>[-2.47,-2.83]</v>
      </c>
      <c r="G48" t="str">
        <f t="shared" si="9"/>
        <v>[-2.83,-3.18]</v>
      </c>
      <c r="H48" t="str">
        <f t="shared" si="9"/>
        <v>[-3.18,-3.34]</v>
      </c>
      <c r="I48" t="str">
        <f t="shared" si="9"/>
        <v>[-3.34,0.00]</v>
      </c>
    </row>
    <row r="50" spans="1:9" x14ac:dyDescent="0.25">
      <c r="A50" s="22" t="s">
        <v>81</v>
      </c>
      <c r="B50" s="22"/>
      <c r="C50" s="22"/>
      <c r="D50" s="22"/>
      <c r="E50" s="22"/>
      <c r="F50" s="22"/>
      <c r="G50" s="22"/>
      <c r="H50" s="22"/>
    </row>
    <row r="51" spans="1:9" x14ac:dyDescent="0.25">
      <c r="A51" t="s">
        <v>82</v>
      </c>
      <c r="B51">
        <v>-3.5</v>
      </c>
      <c r="C51">
        <v>-2.5</v>
      </c>
      <c r="D51">
        <v>-1.5</v>
      </c>
      <c r="E51">
        <v>-0.5</v>
      </c>
      <c r="F51">
        <f>-E51</f>
        <v>0.5</v>
      </c>
      <c r="G51">
        <f>-D51</f>
        <v>1.5</v>
      </c>
      <c r="H51">
        <f>-C51</f>
        <v>2.5</v>
      </c>
      <c r="I51">
        <f>-B51</f>
        <v>3.5</v>
      </c>
    </row>
    <row r="52" spans="1:9" x14ac:dyDescent="0.25">
      <c r="A52" s="22" t="s">
        <v>83</v>
      </c>
      <c r="B52" s="21">
        <f>NORMDIST(B51,0,1,0)</f>
        <v>8.7268269504576015E-4</v>
      </c>
      <c r="C52" s="21">
        <f t="shared" ref="C52:I52" si="10">NORMDIST(C51,0,1,0)</f>
        <v>1.752830049356854E-2</v>
      </c>
      <c r="D52" s="21">
        <f t="shared" si="10"/>
        <v>0.12951759566589174</v>
      </c>
      <c r="E52" s="21">
        <f t="shared" si="10"/>
        <v>0.35206532676429952</v>
      </c>
      <c r="F52" s="21">
        <f t="shared" si="10"/>
        <v>0.35206532676429952</v>
      </c>
      <c r="G52" s="21">
        <f t="shared" si="10"/>
        <v>0.12951759566589174</v>
      </c>
      <c r="H52" s="21">
        <f t="shared" si="10"/>
        <v>1.752830049356854E-2</v>
      </c>
      <c r="I52" s="21">
        <f t="shared" si="10"/>
        <v>8.7268269504576015E-4</v>
      </c>
    </row>
    <row r="54" spans="1:9" x14ac:dyDescent="0.25">
      <c r="A54" t="s">
        <v>84</v>
      </c>
      <c r="C54" s="3">
        <f>C42</f>
        <v>3.4050792414668396</v>
      </c>
      <c r="D54" s="3">
        <f t="shared" ref="D54:I54" si="11">D42</f>
        <v>3.1664007571368433</v>
      </c>
      <c r="E54" s="3">
        <f t="shared" si="11"/>
        <v>2.6942155785567907</v>
      </c>
      <c r="F54" s="3">
        <f t="shared" si="11"/>
        <v>1.542181746574026</v>
      </c>
      <c r="G54" s="3">
        <f t="shared" si="11"/>
        <v>-1.2623776702215976</v>
      </c>
      <c r="H54" s="3">
        <f t="shared" si="11"/>
        <v>-2.0089961955284013</v>
      </c>
      <c r="I54" s="3">
        <f t="shared" si="11"/>
        <v>-2.2461550223784146</v>
      </c>
    </row>
    <row r="55" spans="1:9" x14ac:dyDescent="0.25">
      <c r="A55" t="s">
        <v>85</v>
      </c>
      <c r="C55">
        <v>0.4</v>
      </c>
      <c r="D55">
        <v>0.4</v>
      </c>
      <c r="E55">
        <v>0.4</v>
      </c>
      <c r="F55">
        <v>0.4</v>
      </c>
      <c r="G55">
        <v>0.4</v>
      </c>
      <c r="H55">
        <v>0.4</v>
      </c>
      <c r="I55">
        <v>0.4</v>
      </c>
    </row>
    <row r="57" spans="1:9" x14ac:dyDescent="0.25">
      <c r="A57" s="13" t="s">
        <v>86</v>
      </c>
    </row>
    <row r="58" spans="1:9" x14ac:dyDescent="0.25">
      <c r="A58">
        <v>-0.5</v>
      </c>
    </row>
    <row r="59" spans="1:9" x14ac:dyDescent="0.25">
      <c r="A59" t="s">
        <v>82</v>
      </c>
      <c r="B59">
        <f>B51+$A58</f>
        <v>-4</v>
      </c>
      <c r="C59">
        <f t="shared" ref="C59:I59" si="12">C51+$A58</f>
        <v>-3</v>
      </c>
      <c r="D59">
        <f t="shared" si="12"/>
        <v>-2</v>
      </c>
      <c r="E59">
        <f t="shared" si="12"/>
        <v>-1</v>
      </c>
      <c r="F59">
        <f t="shared" si="12"/>
        <v>0</v>
      </c>
      <c r="G59">
        <f t="shared" si="12"/>
        <v>1</v>
      </c>
      <c r="H59">
        <f t="shared" si="12"/>
        <v>2</v>
      </c>
      <c r="I59">
        <f t="shared" si="12"/>
        <v>3</v>
      </c>
    </row>
    <row r="60" spans="1:9" x14ac:dyDescent="0.25">
      <c r="A60" t="s">
        <v>83</v>
      </c>
      <c r="B60" s="3">
        <f>NORMDIST(B59,$A58,1,0)</f>
        <v>8.7268269504576015E-4</v>
      </c>
      <c r="C60" s="3">
        <f t="shared" ref="C60:I60" si="13">NORMDIST(C59,$A58,1,0)</f>
        <v>1.752830049356854E-2</v>
      </c>
      <c r="D60" s="3">
        <f t="shared" si="13"/>
        <v>0.12951759566589174</v>
      </c>
      <c r="E60" s="3">
        <f t="shared" si="13"/>
        <v>0.35206532676429952</v>
      </c>
      <c r="F60" s="3">
        <f t="shared" si="13"/>
        <v>0.35206532676429952</v>
      </c>
      <c r="G60" s="3">
        <f t="shared" si="13"/>
        <v>0.12951759566589174</v>
      </c>
      <c r="H60" s="3">
        <f t="shared" si="13"/>
        <v>1.752830049356854E-2</v>
      </c>
      <c r="I60" s="3">
        <f t="shared" si="13"/>
        <v>8.7268269504576015E-4</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1"/>
  <sheetViews>
    <sheetView workbookViewId="0">
      <selection activeCell="B27" sqref="B27"/>
    </sheetView>
  </sheetViews>
  <sheetFormatPr defaultRowHeight="15" x14ac:dyDescent="0.25"/>
  <cols>
    <col min="4" max="4" width="8.140625" customWidth="1"/>
  </cols>
  <sheetData>
    <row r="1" spans="1:9" x14ac:dyDescent="0.25">
      <c r="A1" t="s">
        <v>78</v>
      </c>
    </row>
    <row r="2" spans="1:9" x14ac:dyDescent="0.25">
      <c r="B2">
        <v>1</v>
      </c>
      <c r="C2">
        <v>2</v>
      </c>
      <c r="D2">
        <v>3</v>
      </c>
      <c r="E2">
        <v>4</v>
      </c>
      <c r="F2">
        <v>5</v>
      </c>
      <c r="G2">
        <v>6</v>
      </c>
      <c r="H2">
        <v>7</v>
      </c>
    </row>
    <row r="3" spans="1:9" x14ac:dyDescent="0.25">
      <c r="A3" t="s">
        <v>79</v>
      </c>
      <c r="B3" t="s">
        <v>66</v>
      </c>
      <c r="C3" t="s">
        <v>67</v>
      </c>
      <c r="D3" t="s">
        <v>68</v>
      </c>
      <c r="E3" t="s">
        <v>4</v>
      </c>
      <c r="F3" t="s">
        <v>69</v>
      </c>
      <c r="G3" t="s">
        <v>70</v>
      </c>
      <c r="H3" t="s">
        <v>71</v>
      </c>
      <c r="I3" t="s">
        <v>38</v>
      </c>
    </row>
    <row r="4" spans="1:9" x14ac:dyDescent="0.25">
      <c r="A4" t="s">
        <v>66</v>
      </c>
      <c r="B4">
        <f>'pred.transition matrices'!B28</f>
        <v>91.386493316754752</v>
      </c>
      <c r="C4">
        <f>'pred.transition matrices'!C28</f>
        <v>7.9473629675681261</v>
      </c>
      <c r="D4">
        <f>'pred.transition matrices'!D28</f>
        <v>0.50771940731530407</v>
      </c>
      <c r="E4">
        <f>'pred.transition matrices'!E28</f>
        <v>9.3254585017096658E-2</v>
      </c>
      <c r="F4">
        <f>'pred.transition matrices'!F28</f>
        <v>6.2169723344731115E-2</v>
      </c>
      <c r="G4">
        <f>'pred.transition matrices'!G28</f>
        <v>1E-3</v>
      </c>
      <c r="H4">
        <f>'pred.transition matrices'!H28</f>
        <v>1E-3</v>
      </c>
      <c r="I4">
        <f>'pred.transition matrices'!I28</f>
        <v>1E-3</v>
      </c>
    </row>
    <row r="5" spans="1:9" x14ac:dyDescent="0.25">
      <c r="A5" t="s">
        <v>67</v>
      </c>
      <c r="B5">
        <f>'pred.transition matrices'!B29</f>
        <v>0.60322412896515853</v>
      </c>
      <c r="C5">
        <f>'pred.transition matrices'!C29</f>
        <v>90.650026001040047</v>
      </c>
      <c r="D5">
        <f>'pred.transition matrices'!D29</f>
        <v>7.9355174206968275</v>
      </c>
      <c r="E5">
        <f>'pred.transition matrices'!E29</f>
        <v>0.60322412896515853</v>
      </c>
      <c r="F5">
        <f>'pred.transition matrices'!F29</f>
        <v>6.2402496099843982E-2</v>
      </c>
      <c r="G5">
        <f>'pred.transition matrices'!G29</f>
        <v>0.11440457618304731</v>
      </c>
      <c r="H5">
        <f>'pred.transition matrices'!H29</f>
        <v>2.0800832033281331E-2</v>
      </c>
      <c r="I5">
        <f>'pred.transition matrices'!I29</f>
        <v>1.0400416016640665E-2</v>
      </c>
    </row>
    <row r="6" spans="1:9" x14ac:dyDescent="0.25">
      <c r="A6" t="s">
        <v>68</v>
      </c>
      <c r="B6">
        <f>'pred.transition matrices'!B30</f>
        <v>5.2399916160134147E-2</v>
      </c>
      <c r="C6">
        <f>'pred.transition matrices'!C30</f>
        <v>1.9911968140850971</v>
      </c>
      <c r="D6">
        <f>'pred.transition matrices'!D30</f>
        <v>91.427373716202055</v>
      </c>
      <c r="E6">
        <f>'pred.transition matrices'!E30</f>
        <v>5.8583106267029974</v>
      </c>
      <c r="F6">
        <f>'pred.transition matrices'!F30</f>
        <v>0.4401592957451268</v>
      </c>
      <c r="G6">
        <f>'pred.transition matrices'!G30</f>
        <v>0.15719974848040244</v>
      </c>
      <c r="H6">
        <f>'pred.transition matrices'!H30</f>
        <v>3.1439949696080487E-2</v>
      </c>
      <c r="I6">
        <f>'pred.transition matrices'!I30</f>
        <v>4.1919932928107313E-2</v>
      </c>
    </row>
    <row r="7" spans="1:9" x14ac:dyDescent="0.25">
      <c r="A7" t="s">
        <v>4</v>
      </c>
      <c r="B7">
        <f>'pred.transition matrices'!B31</f>
        <v>2.1360674997329916E-2</v>
      </c>
      <c r="C7">
        <f>'pred.transition matrices'!C31</f>
        <v>0.17088539997863933</v>
      </c>
      <c r="D7">
        <f>'pred.transition matrices'!D31</f>
        <v>4.1119299369860096</v>
      </c>
      <c r="E7">
        <f>'pred.transition matrices'!E31</f>
        <v>89.853679376268289</v>
      </c>
      <c r="F7">
        <f>'pred.transition matrices'!F31</f>
        <v>4.5605041119299372</v>
      </c>
      <c r="G7">
        <f>'pred.transition matrices'!G31</f>
        <v>0.81170564989853677</v>
      </c>
      <c r="H7">
        <f>'pred.transition matrices'!H31</f>
        <v>0.18156573747730431</v>
      </c>
      <c r="I7">
        <f>'pred.transition matrices'!I31</f>
        <v>0.28836911246395391</v>
      </c>
    </row>
    <row r="8" spans="1:9" x14ac:dyDescent="0.25">
      <c r="A8" t="s">
        <v>69</v>
      </c>
      <c r="B8">
        <f>'pred.transition matrices'!B32</f>
        <v>3.3072428618674897E-2</v>
      </c>
      <c r="C8">
        <f>'pred.transition matrices'!C32</f>
        <v>4.4096571491566525E-2</v>
      </c>
      <c r="D8">
        <f>'pred.transition matrices'!D32</f>
        <v>0.27560357182229078</v>
      </c>
      <c r="E8">
        <f>'pred.transition matrices'!E32</f>
        <v>5.7986991511409975</v>
      </c>
      <c r="F8">
        <f>'pred.transition matrices'!F32</f>
        <v>83.507882262154112</v>
      </c>
      <c r="G8">
        <f>'pred.transition matrices'!G32</f>
        <v>8.1137691544482422</v>
      </c>
      <c r="H8">
        <f>'pred.transition matrices'!H32</f>
        <v>0.99217285856024684</v>
      </c>
      <c r="I8">
        <f>'pred.transition matrices'!I32</f>
        <v>1.2347040017638629</v>
      </c>
    </row>
    <row r="9" spans="1:9" x14ac:dyDescent="0.25">
      <c r="A9" t="s">
        <v>70</v>
      </c>
      <c r="B9">
        <f>'pred.transition matrices'!B33</f>
        <v>1E-3</v>
      </c>
      <c r="C9">
        <f>'pred.transition matrices'!C33</f>
        <v>5.6605909656968191E-2</v>
      </c>
      <c r="D9">
        <f>'pred.transition matrices'!D33</f>
        <v>0.21510245669647912</v>
      </c>
      <c r="E9">
        <f>'pred.transition matrices'!E33</f>
        <v>0.3509566398732028</v>
      </c>
      <c r="F9">
        <f>'pred.transition matrices'!F33</f>
        <v>6.249292426129287</v>
      </c>
      <c r="G9">
        <f>'pred.transition matrices'!G33</f>
        <v>82.270029095437565</v>
      </c>
      <c r="H9">
        <f>'pred.transition matrices'!H33</f>
        <v>4.7662175931167212</v>
      </c>
      <c r="I9">
        <f>'pred.transition matrices'!I33</f>
        <v>6.0907958790897769</v>
      </c>
    </row>
    <row r="10" spans="1:9" x14ac:dyDescent="0.25">
      <c r="A10" t="s">
        <v>71</v>
      </c>
      <c r="B10">
        <f>'pred.transition matrices'!B34</f>
        <v>1E-3</v>
      </c>
      <c r="C10">
        <f>'pred.transition matrices'!C34</f>
        <v>1E-3</v>
      </c>
      <c r="D10">
        <f>'pred.transition matrices'!D34</f>
        <v>0.32206119162640906</v>
      </c>
      <c r="E10">
        <f>'pred.transition matrices'!E34</f>
        <v>0.47158960202438466</v>
      </c>
      <c r="F10">
        <f>'pred.transition matrices'!F34</f>
        <v>1.4262709914883829</v>
      </c>
      <c r="G10">
        <f>'pred.transition matrices'!G34</f>
        <v>12.560386473429952</v>
      </c>
      <c r="H10">
        <f>'pred.transition matrices'!H34</f>
        <v>54.138786749482399</v>
      </c>
      <c r="I10">
        <f>'pred.transition matrices'!I34</f>
        <v>31.07890499194847</v>
      </c>
    </row>
    <row r="12" spans="1:9" x14ac:dyDescent="0.25">
      <c r="A12" t="s">
        <v>80</v>
      </c>
    </row>
    <row r="13" spans="1:9" x14ac:dyDescent="0.25">
      <c r="B13" t="s">
        <v>66</v>
      </c>
      <c r="C13" t="s">
        <v>67</v>
      </c>
      <c r="D13" t="s">
        <v>68</v>
      </c>
      <c r="E13" t="s">
        <v>4</v>
      </c>
      <c r="F13" t="s">
        <v>69</v>
      </c>
      <c r="G13" t="s">
        <v>70</v>
      </c>
      <c r="H13" t="s">
        <v>71</v>
      </c>
      <c r="I13" t="s">
        <v>38</v>
      </c>
    </row>
    <row r="14" spans="1:9" x14ac:dyDescent="0.25">
      <c r="A14" t="s">
        <v>66</v>
      </c>
      <c r="C14" s="3">
        <f>'pred.transition matrices'!C38</f>
        <v>-1.3649456476220934</v>
      </c>
      <c r="D14" s="3">
        <f>'pred.transition matrices'!D38</f>
        <v>-2.4750199241620563</v>
      </c>
      <c r="E14" s="3">
        <f>'pred.transition matrices'!E38</f>
        <v>-2.9509008434935335</v>
      </c>
      <c r="F14" s="3">
        <f>'pred.transition matrices'!F38</f>
        <v>-3.2152313160686079</v>
      </c>
      <c r="G14" s="3">
        <f>'pred.transition matrices'!G38</f>
        <v>-4.0128108111182534</v>
      </c>
      <c r="H14" s="3">
        <f>'pred.transition matrices'!H38</f>
        <v>-4.1074796545862489</v>
      </c>
      <c r="I14" s="3">
        <f>'pred.transition matrices'!I38</f>
        <v>-4.2648907939228256</v>
      </c>
    </row>
    <row r="15" spans="1:9" x14ac:dyDescent="0.25">
      <c r="A15" t="s">
        <v>67</v>
      </c>
      <c r="C15" s="3">
        <f>'pred.transition matrices'!C39</f>
        <v>2.5102526026726086</v>
      </c>
      <c r="D15" s="3">
        <f>'pred.transition matrices'!D39</f>
        <v>-1.3565161594738151</v>
      </c>
      <c r="E15" s="3">
        <f>'pred.transition matrices'!E39</f>
        <v>-2.40382250044946</v>
      </c>
      <c r="F15" s="3">
        <f>'pred.transition matrices'!F39</f>
        <v>-2.8657545667940347</v>
      </c>
      <c r="G15" s="3">
        <f>'pred.transition matrices'!G39</f>
        <v>-2.9768655911124142</v>
      </c>
      <c r="H15" s="3">
        <f>'pred.transition matrices'!H39</f>
        <v>-3.4209513408935881</v>
      </c>
      <c r="I15" s="3">
        <f>'pred.transition matrices'!I39</f>
        <v>-3.709086550851278</v>
      </c>
    </row>
    <row r="16" spans="1:9" x14ac:dyDescent="0.25">
      <c r="A16" t="s">
        <v>68</v>
      </c>
      <c r="C16" s="3">
        <f>'pred.transition matrices'!C40</f>
        <v>3.2773137854185967</v>
      </c>
      <c r="D16" s="3">
        <f>'pred.transition matrices'!D40</f>
        <v>2.0448268202600248</v>
      </c>
      <c r="E16" s="3">
        <f>'pred.transition matrices'!E40</f>
        <v>-1.5118163412507513</v>
      </c>
      <c r="F16" s="3">
        <f>'pred.transition matrices'!F40</f>
        <v>-2.472574408178871</v>
      </c>
      <c r="G16" s="3">
        <f>'pred.transition matrices'!G40</f>
        <v>-2.8330101192963753</v>
      </c>
      <c r="H16" s="3">
        <f>'pred.transition matrices'!H40</f>
        <v>-3.1810944927736307</v>
      </c>
      <c r="I16" s="3">
        <f>'pred.transition matrices'!I40</f>
        <v>-3.3397962839214936</v>
      </c>
    </row>
    <row r="17" spans="1:9" x14ac:dyDescent="0.25">
      <c r="A17" t="s">
        <v>4</v>
      </c>
      <c r="C17" s="3">
        <f>'pred.transition matrices'!C41</f>
        <v>3.5226758635500479</v>
      </c>
      <c r="D17" s="3">
        <f>'pred.transition matrices'!D41</f>
        <v>2.8906122848474518</v>
      </c>
      <c r="E17" s="3">
        <f>'pred.transition matrices'!E41</f>
        <v>1.7164291767143374</v>
      </c>
      <c r="F17" s="3">
        <f>'pred.transition matrices'!F41</f>
        <v>-1.5681638771198869</v>
      </c>
      <c r="G17" s="3">
        <f>'pred.transition matrices'!G41</f>
        <v>-2.2317300488307539</v>
      </c>
      <c r="H17" s="3">
        <f>'pred.transition matrices'!H41</f>
        <v>-2.5972007719818957</v>
      </c>
      <c r="I17" s="3">
        <f>'pred.transition matrices'!I41</f>
        <v>-2.7607215663908051</v>
      </c>
    </row>
    <row r="18" spans="1:9" x14ac:dyDescent="0.25">
      <c r="A18" t="s">
        <v>69</v>
      </c>
      <c r="C18" s="3">
        <f>'pred.transition matrices'!C42</f>
        <v>3.4050792414668396</v>
      </c>
      <c r="D18" s="3">
        <f>'pred.transition matrices'!D42</f>
        <v>3.1664007571368433</v>
      </c>
      <c r="E18" s="3">
        <f>'pred.transition matrices'!E42</f>
        <v>2.6942155785567907</v>
      </c>
      <c r="F18" s="3">
        <f>'pred.transition matrices'!F42</f>
        <v>1.542181746574026</v>
      </c>
      <c r="G18" s="3">
        <f>'pred.transition matrices'!G42</f>
        <v>-1.2623776702215976</v>
      </c>
      <c r="H18" s="3">
        <f>'pred.transition matrices'!H42</f>
        <v>-2.0089961955284013</v>
      </c>
      <c r="I18" s="3">
        <f>'pred.transition matrices'!I42</f>
        <v>-2.2461550223784146</v>
      </c>
    </row>
    <row r="19" spans="1:9" x14ac:dyDescent="0.25">
      <c r="A19" t="s">
        <v>70</v>
      </c>
      <c r="C19" s="3">
        <f>'pred.transition matrices'!C43</f>
        <v>4.2648907939238399</v>
      </c>
      <c r="D19" s="3">
        <f>'pred.transition matrices'!D43</f>
        <v>3.2504764272965794</v>
      </c>
      <c r="E19" s="3">
        <f>'pred.transition matrices'!E43</f>
        <v>2.778909768281757</v>
      </c>
      <c r="F19" s="3">
        <f>'pred.transition matrices'!F43</f>
        <v>2.4984634590586792</v>
      </c>
      <c r="G19" s="3">
        <f>'pred.transition matrices'!G43</f>
        <v>1.4853197268648541</v>
      </c>
      <c r="H19" s="3">
        <f>'pred.transition matrices'!H43</f>
        <v>-1.2341681058925809</v>
      </c>
      <c r="I19" s="3">
        <f>'pred.transition matrices'!I43</f>
        <v>-1.5471963013891714</v>
      </c>
    </row>
    <row r="20" spans="1:9" x14ac:dyDescent="0.25">
      <c r="A20" t="s">
        <v>71</v>
      </c>
      <c r="C20" s="3">
        <f>'pred.transition matrices'!C44</f>
        <v>4.2648907939213609</v>
      </c>
      <c r="D20" s="3">
        <f>'pred.transition matrices'!D44</f>
        <v>4.1074796545847345</v>
      </c>
      <c r="E20" s="3">
        <f>'pred.transition matrices'!E44</f>
        <v>2.722386776057895</v>
      </c>
      <c r="F20" s="3">
        <f>'pred.transition matrices'!F44</f>
        <v>2.410904470351138</v>
      </c>
      <c r="G20" s="3">
        <f>'pred.transition matrices'!G44</f>
        <v>2.0099315339092572</v>
      </c>
      <c r="H20" s="3">
        <f>'pred.transition matrices'!H44</f>
        <v>1.04581562622199</v>
      </c>
      <c r="I20" s="3">
        <f>'pred.transition matrices'!I44</f>
        <v>-0.49361500764043981</v>
      </c>
    </row>
    <row r="23" spans="1:9" x14ac:dyDescent="0.25">
      <c r="A23" t="s">
        <v>87</v>
      </c>
      <c r="E23" s="22">
        <v>-0.25</v>
      </c>
    </row>
    <row r="24" spans="1:9" x14ac:dyDescent="0.25">
      <c r="B24" t="s">
        <v>66</v>
      </c>
      <c r="C24" t="s">
        <v>67</v>
      </c>
      <c r="D24" t="s">
        <v>68</v>
      </c>
      <c r="E24" t="s">
        <v>4</v>
      </c>
      <c r="F24" t="s">
        <v>69</v>
      </c>
      <c r="G24" t="s">
        <v>70</v>
      </c>
      <c r="H24" t="s">
        <v>71</v>
      </c>
      <c r="I24" t="s">
        <v>38</v>
      </c>
    </row>
    <row r="25" spans="1:9" x14ac:dyDescent="0.25">
      <c r="A25" t="s">
        <v>66</v>
      </c>
      <c r="B25" s="30">
        <f t="shared" ref="B25:B30" si="0">1-SUM(C25:I25)</f>
        <v>0.86756314308034765</v>
      </c>
      <c r="C25" s="15">
        <f>NORMSDIST(C14-$E$23)-(SUM(D25:$J25))</f>
        <v>0.11939690659942359</v>
      </c>
      <c r="D25" s="15">
        <f>NORMSDIST(D14-$E$23)-(SUM(E25:$J25))</f>
        <v>9.5823527398334017E-3</v>
      </c>
      <c r="E25" s="15">
        <f>NORMSDIST(E14-$E$23)-(SUM(F25:$J25))</f>
        <v>1.9453204988163345E-3</v>
      </c>
      <c r="F25" s="15">
        <f>NORMSDIST(F14-$E$23)-(SUM(G25:$J25))</f>
        <v>1.4282699302429565E-3</v>
      </c>
      <c r="G25" s="15">
        <f>NORMSDIST(G14-$E$23)-(SUM(H25:$J25))</f>
        <v>2.6726045447235461E-5</v>
      </c>
      <c r="H25" s="15">
        <f>NORMSDIST(H14-$E$23)-(SUM(I25:$J25))</f>
        <v>2.7544443063168212E-5</v>
      </c>
      <c r="I25" s="15">
        <f>NORMSDIST(I14-$E$23)-(SUM(J25:$J25))</f>
        <v>2.9736662825625008E-5</v>
      </c>
    </row>
    <row r="26" spans="1:9" x14ac:dyDescent="0.25">
      <c r="A26" t="s">
        <v>67</v>
      </c>
      <c r="B26" s="30">
        <f t="shared" si="0"/>
        <v>2.8878342170211013E-3</v>
      </c>
      <c r="C26" s="15">
        <f>NORMSDIST(C15-$E$23)-(SUM(D26:$J26))</f>
        <v>0.86286057896370105</v>
      </c>
      <c r="D26" s="15">
        <f>NORMSDIST(D15-$E$23)-(SUM(E26:$J26))</f>
        <v>0.11862453958512369</v>
      </c>
      <c r="E26" s="15">
        <f>NORMSDIST(E15-$E$23)-(SUM(F26:$J26))</f>
        <v>1.117552086315227E-2</v>
      </c>
      <c r="F26" s="15">
        <f>NORMSDIST(F15-$E$23)-(SUM(G26:$J26))</f>
        <v>1.2545724620613851E-3</v>
      </c>
      <c r="G26" s="15">
        <f>NORMSDIST(G15-$E$23)-(SUM(H26:$J26))</f>
        <v>2.4372509484506199E-3</v>
      </c>
      <c r="H26" s="15">
        <f>NORMSDIST(H15-$E$23)-(SUM(I26:$J26))</f>
        <v>4.8869760831954227E-4</v>
      </c>
      <c r="I26" s="15">
        <f>NORMSDIST(I15-$E$23)-(SUM(J26:$J26))</f>
        <v>2.7100535217040145E-4</v>
      </c>
    </row>
    <row r="27" spans="1:9" x14ac:dyDescent="0.25">
      <c r="A27" t="s">
        <v>68</v>
      </c>
      <c r="B27" s="30">
        <f t="shared" si="0"/>
        <v>2.0989946749538912E-4</v>
      </c>
      <c r="C27" s="15">
        <f>NORMSDIST(C16-$E$23)-(SUM(D27:$J27))</f>
        <v>1.0661626014908387E-2</v>
      </c>
      <c r="D27" s="15">
        <f>NORMSDIST(D16-$E$23)-(SUM(E27:$J27))</f>
        <v>0.88562103419763538</v>
      </c>
      <c r="E27" s="15">
        <f>NORMSDIST(E16-$E$23)-(SUM(F27:$J27))</f>
        <v>9.0385184580937319E-2</v>
      </c>
      <c r="F27" s="15">
        <f>NORMSDIST(F16-$E$23)-(SUM(G27:$J27))</f>
        <v>8.2251332285987726E-3</v>
      </c>
      <c r="G27" s="15">
        <f>NORMSDIST(G16-$E$23)-(SUM(H27:$J27))</f>
        <v>3.2082723963682194E-3</v>
      </c>
      <c r="H27" s="15">
        <f>NORMSDIST(H16-$E$23)-(SUM(I27:$J27))</f>
        <v>6.8738099839576821E-4</v>
      </c>
      <c r="I27" s="15">
        <f>NORMSDIST(I16-$E$23)-(SUM(J27:$J27))</f>
        <v>1.0014691156607497E-3</v>
      </c>
    </row>
    <row r="28" spans="1:9" x14ac:dyDescent="0.25">
      <c r="A28" t="s">
        <v>4</v>
      </c>
      <c r="B28" s="30">
        <f t="shared" si="0"/>
        <v>8.0753025171298454E-5</v>
      </c>
      <c r="C28" s="15">
        <f>NORMSDIST(C17-$E$23)-(SUM(D28:$J28))</f>
        <v>7.622223001174655E-4</v>
      </c>
      <c r="D28" s="15">
        <f>NORMSDIST(D17-$E$23)-(SUM(E28:$J28))</f>
        <v>2.3781552620113389E-2</v>
      </c>
      <c r="E28" s="15">
        <f>NORMSDIST(E17-$E$23)-(SUM(F28:$J28))</f>
        <v>0.8816510745617101</v>
      </c>
      <c r="F28" s="15">
        <f>NORMSDIST(F17-$E$23)-(SUM(G28:$J28))</f>
        <v>6.9969666393485008E-2</v>
      </c>
      <c r="G28" s="15">
        <f>NORMSDIST(G17-$E$23)-(SUM(H28:$J28))</f>
        <v>1.429720141734468E-2</v>
      </c>
      <c r="H28" s="15">
        <f>NORMSDIST(H17-$E$23)-(SUM(I28:$J28))</f>
        <v>3.4332953768811975E-3</v>
      </c>
      <c r="I28" s="15">
        <f>NORMSDIST(I17-$E$23)-(SUM(J28:$J28))</f>
        <v>6.0242343051768663E-3</v>
      </c>
    </row>
    <row r="29" spans="1:9" x14ac:dyDescent="0.25">
      <c r="A29" t="s">
        <v>69</v>
      </c>
      <c r="B29" s="30">
        <f t="shared" si="0"/>
        <v>1.2855127673827571E-4</v>
      </c>
      <c r="C29" s="15">
        <f>NORMSDIST(C18-$E$23)-(SUM(D29:$J29))</f>
        <v>1.8872266360914214E-4</v>
      </c>
      <c r="D29" s="15">
        <f>NORMSDIST(D18-$E$23)-(SUM(E29:$J29))</f>
        <v>1.3015979950165013E-3</v>
      </c>
      <c r="E29" s="15">
        <f>NORMSDIST(E18-$E$23)-(SUM(F29:$J29))</f>
        <v>3.4933056865831924E-2</v>
      </c>
      <c r="F29" s="15">
        <f>NORMSDIST(F18-$E$23)-(SUM(G29:$J29))</f>
        <v>0.80776931580031441</v>
      </c>
      <c r="G29" s="15">
        <f>NORMSDIST(G18-$E$23)-(SUM(H29:$J29))</f>
        <v>0.11638967801853312</v>
      </c>
      <c r="H29" s="15">
        <f>NORMSDIST(H18-$E$23)-(SUM(I29:$J29))</f>
        <v>1.6330551643757667E-2</v>
      </c>
      <c r="I29" s="15">
        <f>NORMSDIST(I18-$E$23)-(SUM(J29:$J29))</f>
        <v>2.2958525736199078E-2</v>
      </c>
    </row>
    <row r="30" spans="1:9" x14ac:dyDescent="0.25">
      <c r="A30" t="s">
        <v>70</v>
      </c>
      <c r="B30" s="30">
        <f t="shared" si="0"/>
        <v>3.1674700972095238E-6</v>
      </c>
      <c r="C30" s="15">
        <f>NORMSDIST(C19-$E$23)-(SUM(D30:$J30))</f>
        <v>2.2904618555141809E-4</v>
      </c>
      <c r="D30" s="15">
        <f>NORMSDIST(D19-$E$23)-(SUM(E30:$J30))</f>
        <v>9.9497622826116849E-4</v>
      </c>
      <c r="E30" s="15">
        <f>NORMSDIST(E19-$E$23)-(SUM(F30:$J30))</f>
        <v>1.7665755389285609E-3</v>
      </c>
      <c r="F30" s="15">
        <f>NORMSDIST(F19-$E$23)-(SUM(G30:$J30))</f>
        <v>3.8348329345551102E-2</v>
      </c>
      <c r="G30" s="15">
        <f>NORMSDIST(G19-$E$23)-(SUM(H30:$J30))</f>
        <v>0.79614147283880354</v>
      </c>
      <c r="H30" s="15">
        <f>NORMSDIST(H19-$E$23)-(SUM(I30:$J30))</f>
        <v>6.5234605887157321E-2</v>
      </c>
      <c r="I30" s="15">
        <f>NORMSDIST(I19-$E$23)-(SUM(J30:$J30))</f>
        <v>9.7281826505649677E-2</v>
      </c>
    </row>
    <row r="31" spans="1:9" x14ac:dyDescent="0.25">
      <c r="A31" t="s">
        <v>71</v>
      </c>
      <c r="B31" s="30">
        <f>1-SUM(C31:I31)</f>
        <v>3.1674700973205461E-6</v>
      </c>
      <c r="C31" s="15">
        <f>NORMSDIST(C20-$E$23)-(SUM(D31:$J31))</f>
        <v>3.4109661237735622E-6</v>
      </c>
      <c r="D31" s="15">
        <f>NORMSDIST(D20-$E$23)-(SUM(E31:$J31))</f>
        <v>1.4708924450897998E-3</v>
      </c>
      <c r="E31" s="15">
        <f>NORMSDIST(E20-$E$23)-(SUM(F31:$J31))</f>
        <v>2.4190823278533724E-3</v>
      </c>
      <c r="F31" s="15">
        <f>NORMSDIST(F20-$E$23)-(SUM(G31:$J31))</f>
        <v>8.016197008852477E-3</v>
      </c>
      <c r="G31" s="15">
        <f>NORMSDIST(G20-$E$23)-(SUM(H31:$J31))</f>
        <v>8.5606756369090875E-2</v>
      </c>
      <c r="H31" s="15">
        <f>NORMSDIST(H20-$E$23)-(SUM(I31:$J31))</f>
        <v>0.49871599140380646</v>
      </c>
      <c r="I31" s="15">
        <f>NORMSDIST(I20-$E$23)-(SUM(J31:$J31))</f>
        <v>0.40376450200908581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linear reg</vt:lpstr>
      <vt:lpstr>poisson reg</vt:lpstr>
      <vt:lpstr>poireg</vt:lpstr>
      <vt:lpstr>backtesting</vt:lpstr>
      <vt:lpstr>pred.transition matrices</vt:lpstr>
      <vt:lpstr>shifting trans. matrix</vt:lpstr>
      <vt:lpstr>Sheet8</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Emrah Ozpeynirci</dc:creator>
  <cp:lastModifiedBy>Emrah Ozpeynirci</cp:lastModifiedBy>
  <dcterms:created xsi:type="dcterms:W3CDTF">2018-01-18T19:58:58Z</dcterms:created>
  <dcterms:modified xsi:type="dcterms:W3CDTF">2018-01-23T17:18:28Z</dcterms:modified>
</cp:coreProperties>
</file>